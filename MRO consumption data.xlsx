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569c6085d60660/Desktop/ML project/"/>
    </mc:Choice>
  </mc:AlternateContent>
  <xr:revisionPtr revIDLastSave="15" documentId="8_{404A4CAC-7345-4C2E-AF35-F2DBE2C7E7D9}" xr6:coauthVersionLast="47" xr6:coauthVersionMax="47" xr10:uidLastSave="{91A59611-E48F-49C3-B106-9870B7565953}"/>
  <bookViews>
    <workbookView xWindow="-28920" yWindow="-120" windowWidth="29040" windowHeight="15720" xr2:uid="{81440F7F-35D8-48EA-8FE8-E75A207EA1EE}"/>
  </bookViews>
  <sheets>
    <sheet name="Consumption_local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4" i="1" l="1"/>
  <c r="BW3" i="1"/>
  <c r="BW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2" i="1"/>
</calcChain>
</file>

<file path=xl/sharedStrings.xml><?xml version="1.0" encoding="utf-8"?>
<sst xmlns="http://schemas.openxmlformats.org/spreadsheetml/2006/main" count="2234" uniqueCount="443">
  <si>
    <t>SL</t>
  </si>
  <si>
    <t>Org</t>
  </si>
  <si>
    <t>Item Major</t>
  </si>
  <si>
    <t>Item Minor</t>
  </si>
  <si>
    <t>Item Group</t>
  </si>
  <si>
    <t>Item Code</t>
  </si>
  <si>
    <t>Item Name</t>
  </si>
  <si>
    <t>LCM</t>
  </si>
  <si>
    <t>UOM</t>
  </si>
  <si>
    <t>Price</t>
  </si>
  <si>
    <t>1-Jan-21</t>
  </si>
  <si>
    <t>1-Feb-21</t>
  </si>
  <si>
    <t>1-Mar-21</t>
  </si>
  <si>
    <t>1-Apr-21</t>
  </si>
  <si>
    <t>1-May-21</t>
  </si>
  <si>
    <t>1-Jun-21</t>
  </si>
  <si>
    <t>1-Jul-21</t>
  </si>
  <si>
    <t>1-Aug-21</t>
  </si>
  <si>
    <t>1-Sep-21</t>
  </si>
  <si>
    <t>1-Oct-21</t>
  </si>
  <si>
    <t>1-Nov-21</t>
  </si>
  <si>
    <t>1-Dec-21</t>
  </si>
  <si>
    <t>1-Jan-22</t>
  </si>
  <si>
    <t>1-Feb-22</t>
  </si>
  <si>
    <t>1-Mar-22</t>
  </si>
  <si>
    <t>1-Apr-22</t>
  </si>
  <si>
    <t>1-May-22</t>
  </si>
  <si>
    <t>1-Jun-22</t>
  </si>
  <si>
    <t>1-Jul-22</t>
  </si>
  <si>
    <t>1-Aug-22</t>
  </si>
  <si>
    <t>1-Sep-22</t>
  </si>
  <si>
    <t>1-Oct-22</t>
  </si>
  <si>
    <t>1-Nov-22</t>
  </si>
  <si>
    <t>1-Dec-22</t>
  </si>
  <si>
    <t>1-Jan-23</t>
  </si>
  <si>
    <t>1-Feb-23</t>
  </si>
  <si>
    <t>1-Mar-23</t>
  </si>
  <si>
    <t>1-Apr-23</t>
  </si>
  <si>
    <t>1-May-23</t>
  </si>
  <si>
    <t>1-Jun-23</t>
  </si>
  <si>
    <t>1-Jul-23</t>
  </si>
  <si>
    <t>1-Aug-23</t>
  </si>
  <si>
    <t>1-Sep-23</t>
  </si>
  <si>
    <t>1-Oct-23</t>
  </si>
  <si>
    <t>1-Nov-23</t>
  </si>
  <si>
    <t>1-Dec-23</t>
  </si>
  <si>
    <t>1-Jan-24</t>
  </si>
  <si>
    <t>1-Feb-24</t>
  </si>
  <si>
    <t>1-Mar-24</t>
  </si>
  <si>
    <t>1-Apr-24</t>
  </si>
  <si>
    <t>1-May-24</t>
  </si>
  <si>
    <t>1-Jun-24</t>
  </si>
  <si>
    <t>1-Jul-24</t>
  </si>
  <si>
    <t>1-Aug-24</t>
  </si>
  <si>
    <t>1-Sep-24</t>
  </si>
  <si>
    <t>1-Oct-24</t>
  </si>
  <si>
    <t>1-Nov-24</t>
  </si>
  <si>
    <t>1-Dec-24</t>
  </si>
  <si>
    <t>1-Jan-25</t>
  </si>
  <si>
    <t>1-Feb-25</t>
  </si>
  <si>
    <t>1-Mar-25</t>
  </si>
  <si>
    <t>1-Apr-25</t>
  </si>
  <si>
    <t>1-May-25</t>
  </si>
  <si>
    <t>1-Jun-25</t>
  </si>
  <si>
    <t>1-Jul-25</t>
  </si>
  <si>
    <t>1-Aug-25</t>
  </si>
  <si>
    <t>1-Sep-25</t>
  </si>
  <si>
    <t>1-Oct-25</t>
  </si>
  <si>
    <t>1-Nov-25</t>
  </si>
  <si>
    <t>1-Dec-25</t>
  </si>
  <si>
    <t>count</t>
  </si>
  <si>
    <t>COM</t>
  </si>
  <si>
    <t>SPARE PARTS</t>
  </si>
  <si>
    <t>MECHANICAL</t>
  </si>
  <si>
    <t>GASKET</t>
  </si>
  <si>
    <t>Rubber Gasket 4mm</t>
  </si>
  <si>
    <t>Local</t>
  </si>
  <si>
    <t>LB</t>
  </si>
  <si>
    <t>CLAMP</t>
  </si>
  <si>
    <t>Hose Clamp 4 inch</t>
  </si>
  <si>
    <t>PCS</t>
  </si>
  <si>
    <t>ADJUSTABLE VALVE</t>
  </si>
  <si>
    <t>Pneumatic Adjustable Valve (8X16)mm</t>
  </si>
  <si>
    <t>BRASS SHAFT</t>
  </si>
  <si>
    <t>Brass Shaft 50 mm</t>
  </si>
  <si>
    <t>GUN</t>
  </si>
  <si>
    <t>Air Gun Steel</t>
  </si>
  <si>
    <t>ALLEN BOLT</t>
  </si>
  <si>
    <t>Allen Bolt (18x120)mm</t>
  </si>
  <si>
    <t>CRIMPING FITTINGS</t>
  </si>
  <si>
    <t>Crimping Fittings Female Thread Out Tapper 3/4 inch</t>
  </si>
  <si>
    <t>NUT-BOLT AND SCREW</t>
  </si>
  <si>
    <t>T-Slot Nut-Thread (Dia-22xWidth-46xLength-46xShoulder Hieght-17xOverall Hieght-34xT-slot Size-17xShoulder Width B-26</t>
  </si>
  <si>
    <t>Allen Bolt (4x20)mm</t>
  </si>
  <si>
    <t>Allen Bolt (6x20)mm</t>
  </si>
  <si>
    <t>Allen Bolt (6X10)mm</t>
  </si>
  <si>
    <t>COUPLING</t>
  </si>
  <si>
    <t>Pneumatic Coupler 8mm</t>
  </si>
  <si>
    <t>Pneumatic SS Coupler 12mm</t>
  </si>
  <si>
    <t>BEARING</t>
  </si>
  <si>
    <t>Bearing 6904 2RS</t>
  </si>
  <si>
    <t>CHIRA PIN</t>
  </si>
  <si>
    <t>Chira Pin (38x3)mm</t>
  </si>
  <si>
    <t>RING HOSE PIPE</t>
  </si>
  <si>
    <t>Ring Hose Pipe 1 inch</t>
  </si>
  <si>
    <t>FT</t>
  </si>
  <si>
    <t>Allen Bolt (12x50)mm</t>
  </si>
  <si>
    <t>PIPE</t>
  </si>
  <si>
    <t>Pneumatic Spring Pipe 8mm</t>
  </si>
  <si>
    <t>GAS</t>
  </si>
  <si>
    <t>Gas R-404A</t>
  </si>
  <si>
    <t>HOSE PIPE</t>
  </si>
  <si>
    <t>Hydraulic Hose Pipe 3/4 inch, 4 PLY</t>
  </si>
  <si>
    <t>Hydraulic Hose Pipe 3/8 inch, 4 PLY</t>
  </si>
  <si>
    <t>ELBOW</t>
  </si>
  <si>
    <t>Pneumatic Elbow (13x10)mm Thread Type</t>
  </si>
  <si>
    <t>SOCKET</t>
  </si>
  <si>
    <t>Pneumatic I Socket (8X8)mm</t>
  </si>
  <si>
    <t>Pneumatic Elbow (10x6)mm Thread Type</t>
  </si>
  <si>
    <t>Pneumatic Elbow Thread Type (20x10)mm</t>
  </si>
  <si>
    <t>Allen Bolt (4x40)mm</t>
  </si>
  <si>
    <t>CONSTRUCTION</t>
  </si>
  <si>
    <t>WORKSHOP</t>
  </si>
  <si>
    <t>INSULATOR</t>
  </si>
  <si>
    <t>Arowflax Insulation Black-1 inch</t>
  </si>
  <si>
    <t>SFT</t>
  </si>
  <si>
    <t>Allen Bolt (8x50)mm Full thread</t>
  </si>
  <si>
    <t>Pneumatic I Socket (10X8)mm</t>
  </si>
  <si>
    <t>Ring Hose Pipe 5 inch</t>
  </si>
  <si>
    <t>Brass Hexagonal Bar 22mm</t>
  </si>
  <si>
    <t>Allen Bolt (10x100)mm</t>
  </si>
  <si>
    <t>Allen Bolt (8x30)mm</t>
  </si>
  <si>
    <t>Allen Bolt (8x25)mm</t>
  </si>
  <si>
    <t>Allen Bolt (6x35)mm</t>
  </si>
  <si>
    <t>BELT</t>
  </si>
  <si>
    <t>V Belt A-41</t>
  </si>
  <si>
    <t>Bearing 6306zz</t>
  </si>
  <si>
    <t>Bearing 6301zz</t>
  </si>
  <si>
    <t>Bearing 6302zz</t>
  </si>
  <si>
    <t>Load Unload Belt 5 Ton</t>
  </si>
  <si>
    <t>Hose Clamp 2.5 inch</t>
  </si>
  <si>
    <t>Bearing 6003zz</t>
  </si>
  <si>
    <t>V Belt A-84</t>
  </si>
  <si>
    <t>Bearing 6203zz</t>
  </si>
  <si>
    <t>LM Guide block HIWIN HGW 35CC ZAC Taiwan</t>
  </si>
  <si>
    <t>NIPPLE</t>
  </si>
  <si>
    <t>Pneumatic Nipple (6x5)mm</t>
  </si>
  <si>
    <t>NYLON SHAFT</t>
  </si>
  <si>
    <t>Nylon Shaft 65mm</t>
  </si>
  <si>
    <t>REGULATOR</t>
  </si>
  <si>
    <t>Co2 Regulator</t>
  </si>
  <si>
    <t>WHEEL</t>
  </si>
  <si>
    <t>Caster Wheel 7 Inch</t>
  </si>
  <si>
    <t>Bearing 6010zz</t>
  </si>
  <si>
    <t>Allen Bolt (10x50)mm-Full Thread</t>
  </si>
  <si>
    <t>Caster Wheel 4 Inch Brake type</t>
  </si>
  <si>
    <t>Bearing 6008zz</t>
  </si>
  <si>
    <t>Allen Bolt (10x150)mm</t>
  </si>
  <si>
    <t>T-Slot Nut-Thread (Dia-24xWidth-46xLength-46xShoulder Hieght-20xOverall Hieght-40xT-slot Size-20xShoulder Width B-27</t>
  </si>
  <si>
    <t>V Belt (1400x38x7)mm Triple Joint</t>
  </si>
  <si>
    <t>Allen Bolt (10X25)mm</t>
  </si>
  <si>
    <t>RELEASER</t>
  </si>
  <si>
    <t>Air Releaser 10mm</t>
  </si>
  <si>
    <t>CSK BOLT</t>
  </si>
  <si>
    <t>CSK Bolt (10x40)mm Full Thread</t>
  </si>
  <si>
    <t>Pneumatic Spring Pipe 10mm</t>
  </si>
  <si>
    <t>Pneumatic Nipple (16X10)mm</t>
  </si>
  <si>
    <t>Pneumatic Adjustable Valve (13x8)mm</t>
  </si>
  <si>
    <t>Pneumatic Adjustable Valve (16x10)mm</t>
  </si>
  <si>
    <t>Caster Wheel 5 Inch</t>
  </si>
  <si>
    <t>PNEUMATIC PIPE</t>
  </si>
  <si>
    <t>Pneumatic Pipe 8mm</t>
  </si>
  <si>
    <t>Crimping Fittings Female Thread Inner Tapper 1/2 inch 90 degree Elbow</t>
  </si>
  <si>
    <t>Ring Hose Pipe 3/4 inch</t>
  </si>
  <si>
    <t>Chira Pin (2x50)mm</t>
  </si>
  <si>
    <t>Gas R-22</t>
  </si>
  <si>
    <t>Hydraulic Hose Pipe 3/8 inch, 2 PLY</t>
  </si>
  <si>
    <t>HOSE</t>
  </si>
  <si>
    <t>Flexible Duct Ring Hose, Dia 300mm, L-30 feet</t>
  </si>
  <si>
    <t>Pneumatic Elbow (10x8)mm Thread Type</t>
  </si>
  <si>
    <t>INSULATION TUBE</t>
  </si>
  <si>
    <t>Insulation Tube 5/8 inch</t>
  </si>
  <si>
    <t>Allen Bolt (5x25)mm</t>
  </si>
  <si>
    <t>Allen Bolt (4x25)mm</t>
  </si>
  <si>
    <t>ALLEN COT</t>
  </si>
  <si>
    <t>Allen Cot (4x6)mm</t>
  </si>
  <si>
    <t>Allen Bolt (6x55)mm Full thread</t>
  </si>
  <si>
    <t>Allen Cot (6x20)mm</t>
  </si>
  <si>
    <t>Allen Bolt (10x35)mm</t>
  </si>
  <si>
    <t>Allen Bolt (10x50)mm SS Color</t>
  </si>
  <si>
    <t>Allen Bolt (12x75)mm</t>
  </si>
  <si>
    <t>Allen Bolt (8x60)mm</t>
  </si>
  <si>
    <t>Crimping Fittings Female Thread Inner Trapper 1/2 inch</t>
  </si>
  <si>
    <t>Load Unload Belt 10 Ton, L-5 Meter</t>
  </si>
  <si>
    <t>V Belt A-54</t>
  </si>
  <si>
    <t>V Belt A-38</t>
  </si>
  <si>
    <t>DEVICE</t>
  </si>
  <si>
    <t>Refrigerant Charging Device,3way,Hose L (4-5) Feet with Fittings</t>
  </si>
  <si>
    <t>SET</t>
  </si>
  <si>
    <t>Allen Bolt (8x60)mm Full thread</t>
  </si>
  <si>
    <t>DUST SEAL</t>
  </si>
  <si>
    <t>Dust Seal (18x26x4.5)mm</t>
  </si>
  <si>
    <t>PLUG</t>
  </si>
  <si>
    <t>Non Return Plug 1/4 inch, Thread Type</t>
  </si>
  <si>
    <t>COPPER PIPE</t>
  </si>
  <si>
    <t>Copper Pipe 1/2 inch (FT)</t>
  </si>
  <si>
    <t>Hose Clamp 2 inch</t>
  </si>
  <si>
    <t>Brass Shaft 90mm</t>
  </si>
  <si>
    <t>Air Gun Plastic</t>
  </si>
  <si>
    <t>Allen Bolt (10x120)mm</t>
  </si>
  <si>
    <t>Allen Bolt (16x80)mm</t>
  </si>
  <si>
    <t>Allen Bolt (6x25)mm</t>
  </si>
  <si>
    <t>Allen Bolt (10x40)mm</t>
  </si>
  <si>
    <t>Crimping Fittings Female Thread Inner Tapper 1/4 inch 90 degree Elbow</t>
  </si>
  <si>
    <t>T-Slot Nut-Thread (Dia-14xWidth-28xLength-28xShoulder Hieght-11xOverall Hieght-22xT-slot Size-11</t>
  </si>
  <si>
    <t>T-Slot Nut-Thread (Dia-18xWidth-36xLength-36xShoulder Hieght-15xOverall Hieght-30xT-slot Size-15xShoulder Width B-20.5</t>
  </si>
  <si>
    <t>Air Releaser 13mm</t>
  </si>
  <si>
    <t>Allen Bolt (8x35)mm</t>
  </si>
  <si>
    <t>Pneumatic Nipple (16x12)mm</t>
  </si>
  <si>
    <t>Pneumatic Nipple (20X12)mm</t>
  </si>
  <si>
    <t>Pneumatic Nipple (12X13)mm</t>
  </si>
  <si>
    <t>TOOLS</t>
  </si>
  <si>
    <t>SAW CUTTER</t>
  </si>
  <si>
    <t>Saw Cutter (300x1.2x32)mm</t>
  </si>
  <si>
    <t>CSK Bolt (5x20)mm</t>
  </si>
  <si>
    <t>CSK Bolt (5X15)mm</t>
  </si>
  <si>
    <t>Pneumatic Pipe 16mm</t>
  </si>
  <si>
    <t>Allen Bolt (12X40)mm</t>
  </si>
  <si>
    <t>Nylon Shaft 80mm (Black Color)</t>
  </si>
  <si>
    <t>Gas R-407</t>
  </si>
  <si>
    <t>Pneumatic I Socket (12X8)mm</t>
  </si>
  <si>
    <t>Pneumatic I Socket (12X12)mm</t>
  </si>
  <si>
    <t>Pneumatic I Socket (6x4)mm</t>
  </si>
  <si>
    <t>Brass Hexagonal Bar 35mm</t>
  </si>
  <si>
    <t>Allen Bolt (5X20)mm</t>
  </si>
  <si>
    <t>Allen Bolt (10x30)mm</t>
  </si>
  <si>
    <t>Allen Cot (6X10)mm</t>
  </si>
  <si>
    <t>Allen Bolt (8x70)mm</t>
  </si>
  <si>
    <t>Allen Bolt (6x100)mm</t>
  </si>
  <si>
    <t>V Belt A-43</t>
  </si>
  <si>
    <t>Bearing 6308zz</t>
  </si>
  <si>
    <t>Saw Cutter (150x25.4x0.8)mm-With key slot</t>
  </si>
  <si>
    <t>Caster Wheel 3 Inch</t>
  </si>
  <si>
    <t>Bearing 6006 2RS</t>
  </si>
  <si>
    <t>Bearing 6201zz</t>
  </si>
  <si>
    <t>Pneumatic I Socket (6x6)mm</t>
  </si>
  <si>
    <t>Crimping Fittings Female Thread Inner Tapper 2 inch</t>
  </si>
  <si>
    <t>Nylon Shaft 70 mm (Black Colour)</t>
  </si>
  <si>
    <t>Bearing 6204zz</t>
  </si>
  <si>
    <t>BUCKET SEAL</t>
  </si>
  <si>
    <t>Bucket Seal (18x26x6)mm</t>
  </si>
  <si>
    <t>Brass Shaft 25mm</t>
  </si>
  <si>
    <t>Allen Bolt (24x150)mm</t>
  </si>
  <si>
    <t>Air Releaser 16mm</t>
  </si>
  <si>
    <t>Pneumatic Nipple (20x16)mm</t>
  </si>
  <si>
    <t>Pneumatic Nipple (10x4)mm</t>
  </si>
  <si>
    <t>Pneumatic Adjustable Valve (20x10)mm</t>
  </si>
  <si>
    <t>Allen Bolt (12x50)mm Full thread</t>
  </si>
  <si>
    <t>BLADE</t>
  </si>
  <si>
    <t>Carton Die Cutting Blade (990x24x1)mm</t>
  </si>
  <si>
    <t>Allen Bolt (4x10)mm</t>
  </si>
  <si>
    <t>Rubber Hose Pipe 1/2 inch</t>
  </si>
  <si>
    <t>Allen Bolt (8x75)mm</t>
  </si>
  <si>
    <t>Allen Bolt (8x100)mm</t>
  </si>
  <si>
    <t>Allen Bolt (8x50)mm</t>
  </si>
  <si>
    <t>CHAIN LOCK</t>
  </si>
  <si>
    <t>Chain Lock Full 40X1R</t>
  </si>
  <si>
    <t>Allen Bolt (5x30)mm</t>
  </si>
  <si>
    <t>Bearing 6209zz</t>
  </si>
  <si>
    <t>Bearing 6206 2RSI</t>
  </si>
  <si>
    <t>Bearing 6306 2RSI</t>
  </si>
  <si>
    <t>V Belt A-32</t>
  </si>
  <si>
    <t>Ring Hose Pipe 2 inch</t>
  </si>
  <si>
    <t>Bearing 6000zz</t>
  </si>
  <si>
    <t>Bearing 6009zz</t>
  </si>
  <si>
    <t>V Belt B-40</t>
  </si>
  <si>
    <t>Cooling Pipe (1/2x16)inch</t>
  </si>
  <si>
    <t>Bearing 6902zz</t>
  </si>
  <si>
    <t>Allen Bolt (16X50)mm</t>
  </si>
  <si>
    <t>Bearing 6311zz</t>
  </si>
  <si>
    <t>Pneumatic Adjustable Valve (10x8)mm</t>
  </si>
  <si>
    <t>Brass Shaft 65mm</t>
  </si>
  <si>
    <t>Brass Shaft 75mm</t>
  </si>
  <si>
    <t>Caster Wheel 6 Inch</t>
  </si>
  <si>
    <t>Allen Bolt (14X50)mm</t>
  </si>
  <si>
    <t>METER</t>
  </si>
  <si>
    <t>CNG High pressure meter with valve</t>
  </si>
  <si>
    <t>SOLENOID VALVE</t>
  </si>
  <si>
    <t>Air Solenoid Valve 1/2 inch 5/2 way double coil, AC220V</t>
  </si>
  <si>
    <t>Allen Cot (6x6)mm</t>
  </si>
  <si>
    <t>Crimping Fittings Female Thread Ineer Tapper 3/8 inch</t>
  </si>
  <si>
    <t>Allen Bolt (12X30)mm</t>
  </si>
  <si>
    <t>Carton Die Creasing Blade (990x22x1)mm</t>
  </si>
  <si>
    <t>Hydraulic Hose Pipe 1/4 inch, 4 PLY</t>
  </si>
  <si>
    <t>Pneumtic T Socket (8X8X8)mm</t>
  </si>
  <si>
    <t>Pneumtic T Socket (12X12X10)mm</t>
  </si>
  <si>
    <t>Pneumatic I Socket (10X10)mm</t>
  </si>
  <si>
    <t>Pneumatic Elbow (20x12)mm Thread Type</t>
  </si>
  <si>
    <t>Allen Bolt (5x40)mm</t>
  </si>
  <si>
    <t>Gas Hose Pipe 8mm Black</t>
  </si>
  <si>
    <t>Allen Cot (10x20)mm</t>
  </si>
  <si>
    <t>Allen Cot (10X12)mm</t>
  </si>
  <si>
    <t>Allen Bolt (6x25)mm SS Color</t>
  </si>
  <si>
    <t>CHAIN</t>
  </si>
  <si>
    <t>Chain 40x1R</t>
  </si>
  <si>
    <t>Ring Hose Pipe 1.25 inch</t>
  </si>
  <si>
    <t>Allen Bolt (10x80)mm</t>
  </si>
  <si>
    <t>Allen Bolt (12x100)mm</t>
  </si>
  <si>
    <t>Allen Bolt (6x30)mm</t>
  </si>
  <si>
    <t>Bearing 6212zz</t>
  </si>
  <si>
    <t>Bearing 6206zz (ID-30 x OD-62 x T-16)mm</t>
  </si>
  <si>
    <t>COMPRESSOR</t>
  </si>
  <si>
    <t>Compressor 24K (Model: 2V40S225AUA) 2KS206D5AF04 / PA150M2A-4FTL / QP407</t>
  </si>
  <si>
    <t>V Belt A-31</t>
  </si>
  <si>
    <t>Crimping Fittings Female Thread Out Tapper 3/8 inch</t>
  </si>
  <si>
    <t>Load Unload Belt 2 ton 2 inch</t>
  </si>
  <si>
    <t>Bearing 6005ZZ</t>
  </si>
  <si>
    <t>Allen Bolt (5x15)mm</t>
  </si>
  <si>
    <t>CSK Bolt (6x25)mm</t>
  </si>
  <si>
    <t>V Belt A-50</t>
  </si>
  <si>
    <t>V Belt A-52</t>
  </si>
  <si>
    <t>Bearing UC 205</t>
  </si>
  <si>
    <t>Bearing UC 207</t>
  </si>
  <si>
    <t>Allen Bolt (4x30)mm</t>
  </si>
  <si>
    <t>CSK Bolt (4X10)mm</t>
  </si>
  <si>
    <t>Gas R-410</t>
  </si>
  <si>
    <t>Hose Clamp 1/2 inch</t>
  </si>
  <si>
    <t>Hose Clamp 1.5 inch</t>
  </si>
  <si>
    <t>Pneumatic Nipple (20X10)mm</t>
  </si>
  <si>
    <t>Pneumatic Nipple (20x8)mm</t>
  </si>
  <si>
    <t>Pneumatic Nipple (10x6)mm</t>
  </si>
  <si>
    <t>Pneumatic Adjustable Valve (13x10)mm</t>
  </si>
  <si>
    <t>Nylon Shaft 55mm</t>
  </si>
  <si>
    <t>CSK Bolt (8x20)mm</t>
  </si>
  <si>
    <t>Hand Lever Valve (Port-1/4 inch) 5/3 Position</t>
  </si>
  <si>
    <t>Pneumatic Adjustable Valve (5x6)mm</t>
  </si>
  <si>
    <t>SHEET</t>
  </si>
  <si>
    <t>Silicon Sheet 3mm</t>
  </si>
  <si>
    <t>Hydraulic Hose Pipe 1/2 inch, 4 PLY</t>
  </si>
  <si>
    <t>Pneumtic T Socket (10x10x12)mm</t>
  </si>
  <si>
    <t>Pneumatic X Socket (10x10x10x10)mm</t>
  </si>
  <si>
    <t>Allen Bolt (5x10)mm</t>
  </si>
  <si>
    <t>Allen Bolt (12X60)mm</t>
  </si>
  <si>
    <t>Allen Bolt (10X20)mm</t>
  </si>
  <si>
    <t>Allen Bolt (8x50)mm SS Color</t>
  </si>
  <si>
    <t>Klinger Gasket 3mm</t>
  </si>
  <si>
    <t>Allen Bolt (8x90)mm</t>
  </si>
  <si>
    <t>Allen Bolt (6x40)mm</t>
  </si>
  <si>
    <t>Bearing 6307zz</t>
  </si>
  <si>
    <t>Hydraulic Hose Pipe 1 inch, 4 PLY</t>
  </si>
  <si>
    <t>Bucket Seal (41.5x31.5x6)mm</t>
  </si>
  <si>
    <t>Bearing 6309 2RSI</t>
  </si>
  <si>
    <t>Crimping Fittings Female Thread Inner Tapper 1 inch</t>
  </si>
  <si>
    <t>Caster Wheel 2 Inch</t>
  </si>
  <si>
    <t>Rubber Gasket 3mm</t>
  </si>
  <si>
    <t>BUSH</t>
  </si>
  <si>
    <t>Rubber Roller Bush (OD-70XID-29.5XL-140)mm</t>
  </si>
  <si>
    <t>V Belt A-33</t>
  </si>
  <si>
    <t>V Belt A-26</t>
  </si>
  <si>
    <t>HOSE CLAMP</t>
  </si>
  <si>
    <t>GI Hose Clamp 1 inch</t>
  </si>
  <si>
    <t>Bucket Seal (35x43x6)mm</t>
  </si>
  <si>
    <t>Bearing UC 210</t>
  </si>
  <si>
    <t>Rubber Wheel 4 inch</t>
  </si>
  <si>
    <t>Caster Wheel 4 Inch</t>
  </si>
  <si>
    <t>Allen Bolt (14x100)mm</t>
  </si>
  <si>
    <t>KNIFE</t>
  </si>
  <si>
    <t>Knife (617x80x21)mm</t>
  </si>
  <si>
    <t>Pneumatic Nipple (6X13)mm</t>
  </si>
  <si>
    <t>Allen Cot (8X10)mm</t>
  </si>
  <si>
    <t>Pneumatic Nipple (10X10)mm</t>
  </si>
  <si>
    <t>Pneumatic Nipple (8X13)mm</t>
  </si>
  <si>
    <t>Pneumtic T Socket (10X10X10)mm</t>
  </si>
  <si>
    <t>Pneumatic Adjustable Valve (4x5)mm</t>
  </si>
  <si>
    <t>Nylon Shaft 90mm</t>
  </si>
  <si>
    <t>Crimping Fittings Female Thread Inner Tapper 3/4 inch</t>
  </si>
  <si>
    <t>Air Filter Regulator Single 1/2 inch</t>
  </si>
  <si>
    <t>Rubber Coupling GR 55 (120x60x22)mm Teeth-8</t>
  </si>
  <si>
    <t>Pneumatic T Socket (12X12X12)mm</t>
  </si>
  <si>
    <t>Pneumatic I Socket (12X10)mm</t>
  </si>
  <si>
    <t>Gas Hose Pipe 8mm Red</t>
  </si>
  <si>
    <t>Allen Bolt (12X25)mm</t>
  </si>
  <si>
    <t>Allen Bolt (10x60)mm</t>
  </si>
  <si>
    <t>Allen Bolt (8x40)mm</t>
  </si>
  <si>
    <t>Allen Bolt (8x150)mm</t>
  </si>
  <si>
    <t>Allen Bolt (3x20)mm</t>
  </si>
  <si>
    <t>Bearing 6202 2RSI</t>
  </si>
  <si>
    <t>V Belt A-36</t>
  </si>
  <si>
    <t>Bearing 6001zz (ID-12 x OD-28 x T-8)mm</t>
  </si>
  <si>
    <t>Air Filter Regulator Double 1/2 inch</t>
  </si>
  <si>
    <t>Bearing UC 206</t>
  </si>
  <si>
    <t>V Belt A-25</t>
  </si>
  <si>
    <t>Crimping Fittings Female Thread Out Tapper 1/2 inch</t>
  </si>
  <si>
    <t>SHAFT</t>
  </si>
  <si>
    <t>Teflon Shaft-40mm(Lbs)</t>
  </si>
  <si>
    <t>SPRING</t>
  </si>
  <si>
    <t>Spring (35x13x2)mm</t>
  </si>
  <si>
    <t>Insulation Tube-3/8 inch</t>
  </si>
  <si>
    <t>V Belt A-28</t>
  </si>
  <si>
    <t>Brass Hexagonal Bar 30mm</t>
  </si>
  <si>
    <t>ELECTRICAL</t>
  </si>
  <si>
    <t>SWITCH</t>
  </si>
  <si>
    <t>Pneumatic Foot Switch</t>
  </si>
  <si>
    <t>Hose Clamp 3/4 inch</t>
  </si>
  <si>
    <t>Hose Clamp 1 inch</t>
  </si>
  <si>
    <t>Bearing CF 12B IKO</t>
  </si>
  <si>
    <t>Brass Shaft 60mm</t>
  </si>
  <si>
    <t>Allen Bolt (18x130)mm</t>
  </si>
  <si>
    <t>Pneumatic Y Socket (8x8x8)mm</t>
  </si>
  <si>
    <t>Acetylene Regulator</t>
  </si>
  <si>
    <t>Crimping Fittings Female Thread Inner Tapper 1/4 inch</t>
  </si>
  <si>
    <t>Allen Bolt (16X60)mm</t>
  </si>
  <si>
    <t>Air Releaser 20mm</t>
  </si>
  <si>
    <t>Pneumatic Nipple (10x8)mm</t>
  </si>
  <si>
    <t>Pneumatic Adjustable Valve (10x6)mm</t>
  </si>
  <si>
    <t>CSK Bolt (6x20)mm</t>
  </si>
  <si>
    <t>Pneumatic SS Coupler 10mm</t>
  </si>
  <si>
    <t>Copper Elbow 1/2 inch</t>
  </si>
  <si>
    <t>Pneumatic Pipe 10mm</t>
  </si>
  <si>
    <t>Pneumatic Pipe 12mm</t>
  </si>
  <si>
    <t>Hydraulic Hose Pipe 1 inch 2 PLY</t>
  </si>
  <si>
    <t>Adjustable Clamp (L-80 x W-30 x Hock Dia-6)mm</t>
  </si>
  <si>
    <t>Copper Pipe 1/2 inch (COL)</t>
  </si>
  <si>
    <t>COL</t>
  </si>
  <si>
    <t>Pneumatic I Socket (8x6)mm.</t>
  </si>
  <si>
    <t>Brass Hexagonal Bar 25mm</t>
  </si>
  <si>
    <t>Allen Bolt (12x35)mm</t>
  </si>
  <si>
    <t>Allen Cot (5x6)mm</t>
  </si>
  <si>
    <t>Allen Bolt (10x50)mm</t>
  </si>
  <si>
    <t>Ring Hose Pipe 1.5 inch</t>
  </si>
  <si>
    <t>AIR REGULATOR</t>
  </si>
  <si>
    <t>Air Regulator 1/2 inch</t>
  </si>
  <si>
    <t>V Belt A-27</t>
  </si>
  <si>
    <t>Bearing 6309 zz</t>
  </si>
  <si>
    <t>Saw Cutter (300x1.6x32)mm</t>
  </si>
  <si>
    <t>Load Unload Belt 3 Ton(Pcs)</t>
  </si>
  <si>
    <t>Bearing 6200zz</t>
  </si>
  <si>
    <t>Bearing 6202zz</t>
  </si>
  <si>
    <t>V Belt B-28</t>
  </si>
  <si>
    <t>Allen Bolt (6x60)mm</t>
  </si>
  <si>
    <t>Bearing 6304zz</t>
  </si>
  <si>
    <t>Pneumatic Nipple (16X8)mm</t>
  </si>
  <si>
    <t>Copper Pipe 5/8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</si>
</sst>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B9F2A-F109-4FBD-91F2-63AF5A82ED14}" name="Table9" displayName="Table9" ref="A1:BS310" totalsRowShown="0">
  <autoFilter ref="A1:BS310" xr:uid="{28643C47-4A58-48D0-9F70-341C2741BDFC}"/>
  <tableColumns count="71">
    <tableColumn id="1" xr3:uid="{CCD6BFE5-76D6-42C1-96BF-0305904E98F5}" name="SL"/>
    <tableColumn id="2" xr3:uid="{0F82A1CC-66A6-484F-9900-7B975864B5D8}" name="Org"/>
    <tableColumn id="3" xr3:uid="{5DDA6201-A5EF-4BDA-9F23-6E8D7F500496}" name="Item Major"/>
    <tableColumn id="4" xr3:uid="{4D5878ED-66D9-4A39-90F3-B7F864BB4DEC}" name="Item Minor"/>
    <tableColumn id="5" xr3:uid="{074F419E-22E0-4BE0-A254-9C0C559061E6}" name="Item Group"/>
    <tableColumn id="6" xr3:uid="{FAB71AEE-1917-4CBD-8B5F-EA8E4492BC8D}" name="Item Code"/>
    <tableColumn id="7" xr3:uid="{59174B26-EE31-4E95-9AB7-6E9375FB03B7}" name="Item Name"/>
    <tableColumn id="8" xr3:uid="{08DDC025-2F18-476C-A094-64AA97AF670E}" name="LCM"/>
    <tableColumn id="9" xr3:uid="{58A3D972-9308-4D88-91AE-04999B9B77FC}" name="UOM"/>
    <tableColumn id="10" xr3:uid="{FF7BFA0F-C3BC-4B17-B01B-9AF7147F1F2D}" name="Price"/>
    <tableColumn id="11" xr3:uid="{788E3363-56B6-4C36-9718-8D1AAC51FF98}" name="1-Jan-21"/>
    <tableColumn id="12" xr3:uid="{8EAAE370-8B12-4786-A974-5D006479A0CC}" name="1-Feb-21"/>
    <tableColumn id="13" xr3:uid="{F18CCCDD-74B1-4A4A-83D9-BA6C5E03A001}" name="1-Mar-21"/>
    <tableColumn id="14" xr3:uid="{CE22A319-A703-4CC9-AFAE-80CE5B1AB2C3}" name="1-Apr-21"/>
    <tableColumn id="15" xr3:uid="{67906106-0810-4031-B65B-80C99E20B55F}" name="1-May-21"/>
    <tableColumn id="16" xr3:uid="{28DAC6C1-B56B-4C49-A265-70540FDECFAC}" name="1-Jun-21"/>
    <tableColumn id="17" xr3:uid="{C74F0728-498E-4658-90BB-89A1F57CC715}" name="1-Jul-21"/>
    <tableColumn id="18" xr3:uid="{785CA59C-4C6C-49E7-856F-D73CF5516C3B}" name="1-Aug-21"/>
    <tableColumn id="19" xr3:uid="{70B71140-6C16-477C-8950-899BC7B30755}" name="1-Sep-21"/>
    <tableColumn id="20" xr3:uid="{C61B951A-B38C-45ED-B393-1D146107F01F}" name="1-Oct-21"/>
    <tableColumn id="21" xr3:uid="{7A967624-D0BD-4737-A05B-4833F321F392}" name="1-Nov-21"/>
    <tableColumn id="22" xr3:uid="{D8A51396-96DB-4C5D-93A4-495A4F46DCA6}" name="1-Dec-21"/>
    <tableColumn id="23" xr3:uid="{16D5C0A4-2CE7-476D-B155-97F5F5A05F37}" name="1-Jan-22"/>
    <tableColumn id="24" xr3:uid="{F1240863-08B2-4FFC-9EE5-E3344D9D60B4}" name="1-Feb-22"/>
    <tableColumn id="25" xr3:uid="{BC64FEDE-47FC-4883-B0E9-5D7AC0AE11E9}" name="1-Mar-22"/>
    <tableColumn id="26" xr3:uid="{CF7E4185-AD39-4E92-BB71-62B99EC35640}" name="1-Apr-22"/>
    <tableColumn id="27" xr3:uid="{5D946B49-F775-44E9-8B63-1AA30AC67FFC}" name="1-May-22"/>
    <tableColumn id="28" xr3:uid="{D4AA218E-49DB-45AB-8ACB-8A91E70E994D}" name="1-Jun-22"/>
    <tableColumn id="29" xr3:uid="{B6C9000B-2845-43A2-A310-BD8C7321C31F}" name="1-Jul-22"/>
    <tableColumn id="30" xr3:uid="{ED411BA9-AC94-4A47-A4B7-824115FB3785}" name="1-Aug-22"/>
    <tableColumn id="31" xr3:uid="{2598E748-1262-422D-829D-EF89014B7C61}" name="1-Sep-22"/>
    <tableColumn id="32" xr3:uid="{762FD140-0D78-438E-A381-C6E25D954489}" name="1-Oct-22"/>
    <tableColumn id="33" xr3:uid="{08B3FB61-2742-457B-8387-D6729134EC68}" name="1-Nov-22"/>
    <tableColumn id="34" xr3:uid="{29E65CC7-5999-41D9-8EF2-39191C723A52}" name="1-Dec-22"/>
    <tableColumn id="35" xr3:uid="{836014AA-2A56-481C-9361-905CA1EE3ED5}" name="1-Jan-23"/>
    <tableColumn id="36" xr3:uid="{202101EA-371D-4975-BD46-9406288A6BE6}" name="1-Feb-23"/>
    <tableColumn id="37" xr3:uid="{310179D6-449F-4591-80FE-066D67170923}" name="1-Mar-23"/>
    <tableColumn id="38" xr3:uid="{CC178BBB-F540-4040-9CD2-E57B7227C391}" name="1-Apr-23"/>
    <tableColumn id="39" xr3:uid="{966025F7-6F58-41E4-A378-A002D110EFC1}" name="1-May-23"/>
    <tableColumn id="40" xr3:uid="{4D984EE3-C394-4E1C-BC22-2A7B16F37067}" name="1-Jun-23"/>
    <tableColumn id="41" xr3:uid="{7A7423EA-1ECF-4DC8-B4B6-819293A9A26A}" name="1-Jul-23"/>
    <tableColumn id="42" xr3:uid="{5BC919A3-8793-428D-9CB6-C96B3F1B33A4}" name="1-Aug-23"/>
    <tableColumn id="43" xr3:uid="{8CAA3500-9BA3-4EBE-AE1F-C915E97A2146}" name="1-Sep-23"/>
    <tableColumn id="44" xr3:uid="{E941BD40-DB0D-4E00-BD5A-A8C4A20C1506}" name="1-Oct-23"/>
    <tableColumn id="45" xr3:uid="{3A801BB6-E53D-4149-A5A2-0A7AFC95590A}" name="1-Nov-23"/>
    <tableColumn id="46" xr3:uid="{78D2B3B1-4CC3-4253-8CDC-96761CF95E66}" name="1-Dec-23"/>
    <tableColumn id="47" xr3:uid="{C24847D6-C28E-41EB-A67D-440623C5EFA7}" name="1-Jan-24"/>
    <tableColumn id="48" xr3:uid="{F77E2990-F4FD-422D-83B0-C3A9597195A1}" name="1-Feb-24"/>
    <tableColumn id="49" xr3:uid="{21565670-FB7F-41DD-AC30-0E837BDB853D}" name="1-Mar-24"/>
    <tableColumn id="50" xr3:uid="{B8E48CD1-0D04-4278-9605-E92185E0E4B9}" name="1-Apr-24"/>
    <tableColumn id="51" xr3:uid="{CEEEFE3A-B960-4DD6-85D9-A3793CFA5A48}" name="1-May-24"/>
    <tableColumn id="52" xr3:uid="{3AC976CD-99F3-4D35-A42A-4178D7F1F922}" name="1-Jun-24"/>
    <tableColumn id="53" xr3:uid="{F73B2F2F-9CFA-4001-9097-6EC9C54A389A}" name="1-Jul-24"/>
    <tableColumn id="54" xr3:uid="{7AFB15F1-DA84-4F13-A8EA-0D94654ACA20}" name="1-Aug-24"/>
    <tableColumn id="55" xr3:uid="{4BE8E8EF-F9E3-4F94-9C0D-6FBE5C518FAF}" name="1-Sep-24"/>
    <tableColumn id="56" xr3:uid="{9F990357-0CE4-409B-A6DF-D327E66DC7E8}" name="1-Oct-24"/>
    <tableColumn id="57" xr3:uid="{0B32C3C3-202D-4F2C-BFA5-19BA24319B69}" name="1-Nov-24"/>
    <tableColumn id="58" xr3:uid="{AE75ED32-15F9-455A-8D45-D504BA163702}" name="1-Dec-24"/>
    <tableColumn id="59" xr3:uid="{E5576020-6909-44EA-B14B-D6E37116F413}" name="1-Jan-25"/>
    <tableColumn id="60" xr3:uid="{413732A3-4CB8-4F36-A290-DEF0807D3F10}" name="1-Feb-25"/>
    <tableColumn id="61" xr3:uid="{FD62BEB8-7430-4C17-B982-97E4E0B84E2A}" name="1-Mar-25"/>
    <tableColumn id="62" xr3:uid="{EBE8048E-5A5F-4973-9299-27C329EBDD8F}" name="1-Apr-25"/>
    <tableColumn id="63" xr3:uid="{01FA9B65-7998-4138-8FEA-4CD66240FD97}" name="1-May-25"/>
    <tableColumn id="64" xr3:uid="{8D51F301-8345-4236-98C9-947934688850}" name="1-Jun-25"/>
    <tableColumn id="65" xr3:uid="{1B1077D7-2A0A-4F3B-9E7C-9972C654A7E0}" name="1-Jul-25"/>
    <tableColumn id="66" xr3:uid="{9565E1FA-F84B-46EA-B72B-E7E65A198942}" name="1-Aug-25"/>
    <tableColumn id="67" xr3:uid="{D64F6598-CA55-4F2F-8E5E-D09290B5C8DF}" name="1-Sep-25"/>
    <tableColumn id="68" xr3:uid="{DA3FF94B-9AEE-46A2-9475-44B7D6A882A9}" name="1-Oct-25"/>
    <tableColumn id="69" xr3:uid="{13727EA9-9B75-48A4-BB9B-05BE55416C3F}" name="1-Nov-25"/>
    <tableColumn id="70" xr3:uid="{951BA6B3-0AF5-46DC-860A-AF235BA44D68}" name="1-Dec-25"/>
    <tableColumn id="71" xr3:uid="{4A806F31-1E5D-4304-86F8-98C6B97C29E9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546A-26F2-46C2-8472-A4AE287CBF65}">
  <dimension ref="A1:BW310"/>
  <sheetViews>
    <sheetView tabSelected="1" topLeftCell="BA1" workbookViewId="0">
      <selection activeCell="BX23" sqref="BX23"/>
    </sheetView>
  </sheetViews>
  <sheetFormatPr defaultRowHeight="14.4" x14ac:dyDescent="0.55000000000000004"/>
  <cols>
    <col min="3" max="3" width="11.734375" customWidth="1"/>
    <col min="4" max="4" width="11.83984375" customWidth="1"/>
    <col min="5" max="5" width="12" customWidth="1"/>
    <col min="6" max="6" width="11.05078125" customWidth="1"/>
    <col min="7" max="7" width="11.734375" customWidth="1"/>
    <col min="11" max="11" width="9.7890625" bestFit="1" customWidth="1"/>
    <col min="12" max="12" width="10.20703125" bestFit="1" customWidth="1"/>
    <col min="13" max="13" width="10" customWidth="1"/>
    <col min="14" max="14" width="9.62890625" customWidth="1"/>
    <col min="15" max="15" width="10.26171875" customWidth="1"/>
    <col min="16" max="16" width="9.47265625" customWidth="1"/>
    <col min="17" max="17" width="8.9453125" customWidth="1"/>
    <col min="18" max="18" width="9.89453125" customWidth="1"/>
    <col min="19" max="19" width="9.734375" customWidth="1"/>
    <col min="20" max="20" width="9.47265625" customWidth="1"/>
    <col min="21" max="21" width="10" customWidth="1"/>
    <col min="22" max="22" width="9.734375" customWidth="1"/>
    <col min="23" max="23" width="9.3671875" customWidth="1"/>
    <col min="24" max="24" width="9.734375" customWidth="1"/>
    <col min="25" max="25" width="10" customWidth="1"/>
    <col min="26" max="26" width="9.62890625" customWidth="1"/>
    <col min="27" max="27" width="10.26171875" customWidth="1"/>
    <col min="28" max="28" width="9.47265625" customWidth="1"/>
    <col min="29" max="29" width="8.9453125" customWidth="1"/>
    <col min="30" max="30" width="9.89453125" customWidth="1"/>
    <col min="31" max="31" width="9.734375" customWidth="1"/>
    <col min="32" max="32" width="9.47265625" customWidth="1"/>
    <col min="33" max="33" width="10" customWidth="1"/>
    <col min="34" max="34" width="9.734375" customWidth="1"/>
    <col min="35" max="35" width="9.3671875" customWidth="1"/>
    <col min="36" max="36" width="9.734375" customWidth="1"/>
    <col min="37" max="37" width="10" customWidth="1"/>
    <col min="38" max="38" width="9.62890625" customWidth="1"/>
    <col min="39" max="39" width="10.26171875" customWidth="1"/>
    <col min="40" max="40" width="9.47265625" customWidth="1"/>
    <col min="41" max="41" width="8.9453125" customWidth="1"/>
    <col min="42" max="42" width="9.89453125" customWidth="1"/>
    <col min="43" max="43" width="9.734375" customWidth="1"/>
    <col min="44" max="44" width="9.47265625" customWidth="1"/>
    <col min="45" max="45" width="10" customWidth="1"/>
    <col min="46" max="46" width="9.734375" customWidth="1"/>
    <col min="47" max="47" width="9.3671875" customWidth="1"/>
    <col min="48" max="48" width="9.734375" customWidth="1"/>
    <col min="49" max="49" width="10" customWidth="1"/>
    <col min="50" max="50" width="9.62890625" customWidth="1"/>
    <col min="51" max="51" width="10.26171875" customWidth="1"/>
    <col min="52" max="52" width="9.47265625" customWidth="1"/>
    <col min="53" max="53" width="8.9453125" customWidth="1"/>
    <col min="54" max="54" width="9.89453125" customWidth="1"/>
    <col min="55" max="55" width="9.734375" customWidth="1"/>
    <col min="56" max="56" width="9.47265625" customWidth="1"/>
    <col min="57" max="57" width="10" customWidth="1"/>
    <col min="58" max="58" width="9.734375" customWidth="1"/>
    <col min="59" max="59" width="9.3671875" customWidth="1"/>
    <col min="60" max="60" width="9.734375" customWidth="1"/>
    <col min="61" max="61" width="10" customWidth="1"/>
    <col min="62" max="62" width="9.62890625" customWidth="1"/>
    <col min="63" max="63" width="10.26171875" customWidth="1"/>
    <col min="64" max="64" width="9.47265625" customWidth="1"/>
    <col min="65" max="65" width="8.9453125" customWidth="1"/>
    <col min="66" max="66" width="9.89453125" customWidth="1"/>
    <col min="67" max="67" width="9.734375" customWidth="1"/>
    <col min="68" max="68" width="9.47265625" customWidth="1"/>
    <col min="69" max="69" width="10" customWidth="1"/>
    <col min="70" max="70" width="9.734375" customWidth="1"/>
  </cols>
  <sheetData>
    <row r="1" spans="1:7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5" x14ac:dyDescent="0.55000000000000004">
      <c r="A2">
        <v>1</v>
      </c>
      <c r="B2" t="s">
        <v>71</v>
      </c>
      <c r="C2" t="s">
        <v>72</v>
      </c>
      <c r="D2" t="s">
        <v>73</v>
      </c>
      <c r="E2" t="s">
        <v>74</v>
      </c>
      <c r="F2">
        <v>109721</v>
      </c>
      <c r="G2" t="s">
        <v>75</v>
      </c>
      <c r="H2" t="s">
        <v>76</v>
      </c>
      <c r="I2" t="s">
        <v>77</v>
      </c>
      <c r="J2">
        <v>49.14</v>
      </c>
      <c r="K2">
        <v>282.73</v>
      </c>
      <c r="L2">
        <v>375</v>
      </c>
      <c r="M2">
        <v>158</v>
      </c>
      <c r="N2">
        <v>2.4700000000000002</v>
      </c>
      <c r="O2">
        <v>225</v>
      </c>
      <c r="P2">
        <v>321</v>
      </c>
      <c r="Q2">
        <v>3</v>
      </c>
      <c r="R2">
        <v>31</v>
      </c>
      <c r="S2">
        <v>228</v>
      </c>
      <c r="T2">
        <v>108.03</v>
      </c>
      <c r="U2">
        <v>244</v>
      </c>
      <c r="V2">
        <v>316</v>
      </c>
      <c r="W2">
        <v>752</v>
      </c>
      <c r="X2">
        <v>135.97</v>
      </c>
      <c r="Y2">
        <v>419</v>
      </c>
      <c r="Z2">
        <v>65</v>
      </c>
      <c r="AA2">
        <v>600</v>
      </c>
      <c r="AB2">
        <v>725</v>
      </c>
      <c r="AC2">
        <v>20</v>
      </c>
      <c r="AD2">
        <v>90</v>
      </c>
      <c r="AE2">
        <v>268</v>
      </c>
      <c r="AF2">
        <v>235</v>
      </c>
      <c r="AG2">
        <v>19</v>
      </c>
      <c r="AH2">
        <v>475</v>
      </c>
      <c r="AI2">
        <v>330</v>
      </c>
      <c r="AJ2">
        <v>231</v>
      </c>
      <c r="AK2">
        <v>62.5</v>
      </c>
      <c r="AL2">
        <v>47</v>
      </c>
      <c r="AM2">
        <v>165</v>
      </c>
      <c r="AN2">
        <v>95</v>
      </c>
      <c r="AO2">
        <v>235</v>
      </c>
      <c r="AP2">
        <v>274.39999999999998</v>
      </c>
      <c r="AQ2">
        <v>230</v>
      </c>
      <c r="AR2">
        <v>372</v>
      </c>
      <c r="AS2">
        <v>43.5</v>
      </c>
      <c r="AT2">
        <v>79</v>
      </c>
      <c r="AU2">
        <v>41.5</v>
      </c>
      <c r="AV2">
        <v>124</v>
      </c>
      <c r="AW2">
        <v>334.62</v>
      </c>
      <c r="AX2">
        <v>55</v>
      </c>
      <c r="AY2">
        <v>145</v>
      </c>
      <c r="AZ2">
        <v>65</v>
      </c>
      <c r="BA2">
        <v>157.5</v>
      </c>
      <c r="BB2">
        <v>158.74</v>
      </c>
      <c r="BC2">
        <v>128</v>
      </c>
      <c r="BD2">
        <v>280.76</v>
      </c>
      <c r="BE2">
        <v>175</v>
      </c>
      <c r="BF2">
        <v>484</v>
      </c>
      <c r="BG2">
        <v>10</v>
      </c>
      <c r="BH2">
        <v>400</v>
      </c>
      <c r="BI2">
        <v>236</v>
      </c>
      <c r="BJ2">
        <v>249</v>
      </c>
      <c r="BK2">
        <v>172</v>
      </c>
      <c r="BL2">
        <v>49</v>
      </c>
      <c r="BM2">
        <v>146.5</v>
      </c>
      <c r="BN2">
        <v>273.5</v>
      </c>
      <c r="BO2">
        <v>238</v>
      </c>
      <c r="BP2">
        <v>324</v>
      </c>
      <c r="BQ2">
        <v>427</v>
      </c>
      <c r="BR2">
        <v>192.5</v>
      </c>
      <c r="BS2">
        <v>60</v>
      </c>
      <c r="BU2" s="1">
        <f>AVERAGE(Table9[[#This Row],[1-Jan-21]:[1-Dec-25]])</f>
        <v>218.82033333333331</v>
      </c>
      <c r="BW2">
        <f>COUNTIF($BU$2:$BU$310,"&gt;150")</f>
        <v>33</v>
      </c>
    </row>
    <row r="3" spans="1:75" x14ac:dyDescent="0.55000000000000004">
      <c r="A3">
        <v>2</v>
      </c>
      <c r="B3" t="s">
        <v>71</v>
      </c>
      <c r="C3" t="s">
        <v>72</v>
      </c>
      <c r="D3" t="s">
        <v>73</v>
      </c>
      <c r="E3" t="s">
        <v>78</v>
      </c>
      <c r="F3">
        <v>109019</v>
      </c>
      <c r="G3" t="s">
        <v>79</v>
      </c>
      <c r="H3" t="s">
        <v>76</v>
      </c>
      <c r="I3" t="s">
        <v>80</v>
      </c>
      <c r="J3">
        <v>28.94</v>
      </c>
      <c r="K3">
        <v>8</v>
      </c>
      <c r="L3">
        <v>2</v>
      </c>
      <c r="M3">
        <v>12</v>
      </c>
      <c r="N3">
        <v>20</v>
      </c>
      <c r="O3">
        <v>27</v>
      </c>
      <c r="P3">
        <v>33</v>
      </c>
      <c r="Q3">
        <v>7</v>
      </c>
      <c r="R3">
        <v>28</v>
      </c>
      <c r="S3">
        <v>10</v>
      </c>
      <c r="T3">
        <v>22</v>
      </c>
      <c r="U3">
        <v>16</v>
      </c>
      <c r="V3">
        <v>8</v>
      </c>
      <c r="W3">
        <v>13</v>
      </c>
      <c r="X3">
        <v>8</v>
      </c>
      <c r="Y3">
        <v>4</v>
      </c>
      <c r="Z3">
        <v>23</v>
      </c>
      <c r="AA3">
        <v>40</v>
      </c>
      <c r="AB3">
        <v>22</v>
      </c>
      <c r="AC3">
        <v>0</v>
      </c>
      <c r="AD3">
        <v>5</v>
      </c>
      <c r="AE3">
        <v>5</v>
      </c>
      <c r="AF3">
        <v>9</v>
      </c>
      <c r="AG3">
        <v>8</v>
      </c>
      <c r="AH3">
        <v>12</v>
      </c>
      <c r="AI3">
        <v>11</v>
      </c>
      <c r="AJ3">
        <v>4</v>
      </c>
      <c r="AK3">
        <v>18</v>
      </c>
      <c r="AL3">
        <v>0</v>
      </c>
      <c r="AM3">
        <v>10</v>
      </c>
      <c r="AN3">
        <v>4</v>
      </c>
      <c r="AO3">
        <v>2</v>
      </c>
      <c r="AP3">
        <v>0</v>
      </c>
      <c r="AQ3">
        <v>0</v>
      </c>
      <c r="AR3">
        <v>9</v>
      </c>
      <c r="AS3">
        <v>8</v>
      </c>
      <c r="AT3">
        <v>2</v>
      </c>
      <c r="AU3">
        <v>9</v>
      </c>
      <c r="AV3">
        <v>6</v>
      </c>
      <c r="AW3">
        <v>20</v>
      </c>
      <c r="AX3">
        <v>10</v>
      </c>
      <c r="AY3">
        <v>4</v>
      </c>
      <c r="AZ3">
        <v>19</v>
      </c>
      <c r="BA3">
        <v>4</v>
      </c>
      <c r="BB3">
        <v>20</v>
      </c>
      <c r="BC3">
        <v>6</v>
      </c>
      <c r="BD3">
        <v>2</v>
      </c>
      <c r="BE3">
        <v>2</v>
      </c>
      <c r="BF3">
        <v>8</v>
      </c>
      <c r="BG3">
        <v>1</v>
      </c>
      <c r="BH3">
        <v>2</v>
      </c>
      <c r="BI3">
        <v>6</v>
      </c>
      <c r="BJ3">
        <v>2</v>
      </c>
      <c r="BK3">
        <v>0</v>
      </c>
      <c r="BL3">
        <v>2</v>
      </c>
      <c r="BM3">
        <v>3</v>
      </c>
      <c r="BN3">
        <v>13</v>
      </c>
      <c r="BO3">
        <v>13</v>
      </c>
      <c r="BP3">
        <v>16</v>
      </c>
      <c r="BQ3">
        <v>6</v>
      </c>
      <c r="BR3">
        <v>0</v>
      </c>
      <c r="BS3">
        <v>54</v>
      </c>
      <c r="BU3" s="1">
        <f>AVERAGE(Table9[[#This Row],[1-Jan-21]:[1-Dec-25]])</f>
        <v>9.7333333333333325</v>
      </c>
      <c r="BW3">
        <f>COUNTIF($BU$2:$BU$310,"&lt;50")</f>
        <v>211</v>
      </c>
    </row>
    <row r="4" spans="1:75" x14ac:dyDescent="0.55000000000000004">
      <c r="A4">
        <v>3</v>
      </c>
      <c r="B4" t="s">
        <v>71</v>
      </c>
      <c r="C4" t="s">
        <v>72</v>
      </c>
      <c r="D4" t="s">
        <v>73</v>
      </c>
      <c r="E4" t="s">
        <v>81</v>
      </c>
      <c r="F4">
        <v>111255</v>
      </c>
      <c r="G4" t="s">
        <v>82</v>
      </c>
      <c r="H4" t="s">
        <v>76</v>
      </c>
      <c r="I4" t="s">
        <v>80</v>
      </c>
      <c r="J4">
        <v>120.23</v>
      </c>
      <c r="K4">
        <v>31</v>
      </c>
      <c r="L4">
        <v>25</v>
      </c>
      <c r="M4">
        <v>17</v>
      </c>
      <c r="N4">
        <v>19</v>
      </c>
      <c r="O4">
        <v>0</v>
      </c>
      <c r="P4">
        <v>28</v>
      </c>
      <c r="Q4">
        <v>4</v>
      </c>
      <c r="R4">
        <v>6</v>
      </c>
      <c r="S4">
        <v>15</v>
      </c>
      <c r="T4">
        <v>20</v>
      </c>
      <c r="U4">
        <v>19</v>
      </c>
      <c r="V4">
        <v>5</v>
      </c>
      <c r="W4">
        <v>7</v>
      </c>
      <c r="X4">
        <v>0</v>
      </c>
      <c r="Y4">
        <v>10</v>
      </c>
      <c r="Z4">
        <v>9</v>
      </c>
      <c r="AA4">
        <v>1</v>
      </c>
      <c r="AB4">
        <v>4</v>
      </c>
      <c r="AC4">
        <v>20</v>
      </c>
      <c r="AD4">
        <v>10</v>
      </c>
      <c r="AE4">
        <v>17</v>
      </c>
      <c r="AF4">
        <v>5</v>
      </c>
      <c r="AG4">
        <v>22</v>
      </c>
      <c r="AH4">
        <v>15</v>
      </c>
      <c r="AI4">
        <v>3</v>
      </c>
      <c r="AJ4">
        <v>5</v>
      </c>
      <c r="AK4">
        <v>0</v>
      </c>
      <c r="AL4">
        <v>0</v>
      </c>
      <c r="AM4">
        <v>23</v>
      </c>
      <c r="AN4">
        <v>2</v>
      </c>
      <c r="AO4">
        <v>8</v>
      </c>
      <c r="AP4">
        <v>6</v>
      </c>
      <c r="AQ4">
        <v>16</v>
      </c>
      <c r="AR4">
        <v>5</v>
      </c>
      <c r="AS4">
        <v>3</v>
      </c>
      <c r="AT4">
        <v>10</v>
      </c>
      <c r="AU4">
        <v>16</v>
      </c>
      <c r="AV4">
        <v>2</v>
      </c>
      <c r="AW4">
        <v>2</v>
      </c>
      <c r="AX4">
        <v>4</v>
      </c>
      <c r="AY4">
        <v>23</v>
      </c>
      <c r="AZ4">
        <v>11</v>
      </c>
      <c r="BA4">
        <v>2</v>
      </c>
      <c r="BB4">
        <v>3</v>
      </c>
      <c r="BC4">
        <v>12</v>
      </c>
      <c r="BD4">
        <v>4</v>
      </c>
      <c r="BE4">
        <v>16</v>
      </c>
      <c r="BF4">
        <v>12</v>
      </c>
      <c r="BG4">
        <v>4</v>
      </c>
      <c r="BH4">
        <v>2</v>
      </c>
      <c r="BI4">
        <v>3</v>
      </c>
      <c r="BJ4">
        <v>22</v>
      </c>
      <c r="BK4">
        <v>0</v>
      </c>
      <c r="BL4">
        <v>2</v>
      </c>
      <c r="BM4">
        <v>5</v>
      </c>
      <c r="BN4">
        <v>0</v>
      </c>
      <c r="BO4">
        <v>5</v>
      </c>
      <c r="BP4">
        <v>21</v>
      </c>
      <c r="BQ4">
        <v>39</v>
      </c>
      <c r="BR4">
        <v>24</v>
      </c>
      <c r="BS4">
        <v>54</v>
      </c>
      <c r="BU4" s="1">
        <f>AVERAGE(Table9[[#This Row],[1-Jan-21]:[1-Dec-25]])</f>
        <v>10.4</v>
      </c>
      <c r="BW4">
        <f>COUNTIFS($BU$2:$BU$310,"&gt;50",$BU$2:$BU$310,"&lt;150")</f>
        <v>65</v>
      </c>
    </row>
    <row r="5" spans="1:75" x14ac:dyDescent="0.55000000000000004">
      <c r="A5">
        <v>4</v>
      </c>
      <c r="B5" t="s">
        <v>71</v>
      </c>
      <c r="C5" t="s">
        <v>72</v>
      </c>
      <c r="D5" t="s">
        <v>73</v>
      </c>
      <c r="E5" t="s">
        <v>83</v>
      </c>
      <c r="F5">
        <v>108765</v>
      </c>
      <c r="G5" t="s">
        <v>84</v>
      </c>
      <c r="H5" t="s">
        <v>76</v>
      </c>
      <c r="I5" t="s">
        <v>77</v>
      </c>
      <c r="J5">
        <v>397.84</v>
      </c>
      <c r="K5">
        <v>52</v>
      </c>
      <c r="L5">
        <v>68</v>
      </c>
      <c r="M5">
        <v>47</v>
      </c>
      <c r="N5">
        <v>110.5</v>
      </c>
      <c r="O5">
        <v>37.5</v>
      </c>
      <c r="P5">
        <v>89.518000000000001</v>
      </c>
      <c r="Q5">
        <v>131</v>
      </c>
      <c r="R5">
        <v>60.5</v>
      </c>
      <c r="S5">
        <v>38</v>
      </c>
      <c r="T5">
        <v>154.02799999999999</v>
      </c>
      <c r="U5">
        <v>50</v>
      </c>
      <c r="V5">
        <v>172.708</v>
      </c>
      <c r="W5">
        <v>16</v>
      </c>
      <c r="X5">
        <v>30</v>
      </c>
      <c r="Y5">
        <v>0</v>
      </c>
      <c r="Z5">
        <v>18</v>
      </c>
      <c r="AA5">
        <v>47</v>
      </c>
      <c r="AB5">
        <v>55</v>
      </c>
      <c r="AC5">
        <v>40</v>
      </c>
      <c r="AD5">
        <v>48.048000000000002</v>
      </c>
      <c r="AE5">
        <v>13</v>
      </c>
      <c r="AF5">
        <v>76</v>
      </c>
      <c r="AG5">
        <v>0</v>
      </c>
      <c r="AH5">
        <v>7</v>
      </c>
      <c r="AI5">
        <v>20</v>
      </c>
      <c r="AJ5">
        <v>71.52</v>
      </c>
      <c r="AK5">
        <v>0</v>
      </c>
      <c r="AL5">
        <v>0</v>
      </c>
      <c r="AM5">
        <v>11</v>
      </c>
      <c r="AN5">
        <v>0</v>
      </c>
      <c r="AO5">
        <v>8</v>
      </c>
      <c r="AP5">
        <v>0</v>
      </c>
      <c r="AQ5">
        <v>0</v>
      </c>
      <c r="AR5">
        <v>11.8</v>
      </c>
      <c r="AS5">
        <v>5.5</v>
      </c>
      <c r="AT5">
        <v>0</v>
      </c>
      <c r="AU5">
        <v>10.34</v>
      </c>
      <c r="AV5">
        <v>13.42</v>
      </c>
      <c r="AW5">
        <v>16.059999999999999</v>
      </c>
      <c r="AX5">
        <v>40.96</v>
      </c>
      <c r="AY5">
        <v>3</v>
      </c>
      <c r="AZ5">
        <v>79.319999999999993</v>
      </c>
      <c r="BA5">
        <v>70</v>
      </c>
      <c r="BB5">
        <v>30</v>
      </c>
      <c r="BC5">
        <v>98.08</v>
      </c>
      <c r="BD5">
        <v>94.82</v>
      </c>
      <c r="BE5">
        <v>0</v>
      </c>
      <c r="BF5">
        <v>45</v>
      </c>
      <c r="BG5">
        <v>7</v>
      </c>
      <c r="BH5">
        <v>0</v>
      </c>
      <c r="BI5">
        <v>0</v>
      </c>
      <c r="BJ5">
        <v>0</v>
      </c>
      <c r="BK5">
        <v>17.3</v>
      </c>
      <c r="BL5">
        <v>86</v>
      </c>
      <c r="BM5">
        <v>92.03</v>
      </c>
      <c r="BN5">
        <v>0</v>
      </c>
      <c r="BO5">
        <v>0</v>
      </c>
      <c r="BP5">
        <v>0</v>
      </c>
      <c r="BQ5">
        <v>0</v>
      </c>
      <c r="BR5">
        <v>8</v>
      </c>
      <c r="BS5">
        <v>44</v>
      </c>
      <c r="BU5" s="1">
        <f>AVERAGE(Table9[[#This Row],[1-Jan-21]:[1-Dec-25]])</f>
        <v>36.665866666666666</v>
      </c>
    </row>
    <row r="6" spans="1:75" x14ac:dyDescent="0.55000000000000004">
      <c r="A6">
        <v>5</v>
      </c>
      <c r="B6" t="s">
        <v>71</v>
      </c>
      <c r="C6" t="s">
        <v>72</v>
      </c>
      <c r="D6" t="s">
        <v>73</v>
      </c>
      <c r="E6" t="s">
        <v>85</v>
      </c>
      <c r="F6">
        <v>109784</v>
      </c>
      <c r="G6" t="s">
        <v>86</v>
      </c>
      <c r="H6" t="s">
        <v>76</v>
      </c>
      <c r="I6" t="s">
        <v>80</v>
      </c>
      <c r="J6">
        <v>235.25</v>
      </c>
      <c r="K6">
        <v>32</v>
      </c>
      <c r="L6">
        <v>46</v>
      </c>
      <c r="M6">
        <v>47</v>
      </c>
      <c r="N6">
        <v>49</v>
      </c>
      <c r="O6">
        <v>52</v>
      </c>
      <c r="P6">
        <v>31</v>
      </c>
      <c r="Q6">
        <v>7</v>
      </c>
      <c r="R6">
        <v>31</v>
      </c>
      <c r="S6">
        <v>54</v>
      </c>
      <c r="T6">
        <v>64</v>
      </c>
      <c r="U6">
        <v>54</v>
      </c>
      <c r="V6">
        <v>33</v>
      </c>
      <c r="W6">
        <v>67</v>
      </c>
      <c r="X6">
        <v>35</v>
      </c>
      <c r="Y6">
        <v>62</v>
      </c>
      <c r="Z6">
        <v>58</v>
      </c>
      <c r="AA6">
        <v>73</v>
      </c>
      <c r="AB6">
        <v>40</v>
      </c>
      <c r="AC6">
        <v>19</v>
      </c>
      <c r="AD6">
        <v>24</v>
      </c>
      <c r="AE6">
        <v>35</v>
      </c>
      <c r="AF6">
        <v>48</v>
      </c>
      <c r="AG6">
        <v>38</v>
      </c>
      <c r="AH6">
        <v>26</v>
      </c>
      <c r="AI6">
        <v>44</v>
      </c>
      <c r="AJ6">
        <v>37</v>
      </c>
      <c r="AK6">
        <v>19</v>
      </c>
      <c r="AL6">
        <v>23</v>
      </c>
      <c r="AM6">
        <v>57</v>
      </c>
      <c r="AN6">
        <v>7</v>
      </c>
      <c r="AO6">
        <v>22</v>
      </c>
      <c r="AP6">
        <v>23</v>
      </c>
      <c r="AQ6">
        <v>37</v>
      </c>
      <c r="AR6">
        <v>23</v>
      </c>
      <c r="AS6">
        <v>24</v>
      </c>
      <c r="AT6">
        <v>31</v>
      </c>
      <c r="AU6">
        <v>44</v>
      </c>
      <c r="AV6">
        <v>52</v>
      </c>
      <c r="AW6">
        <v>44</v>
      </c>
      <c r="AX6">
        <v>19</v>
      </c>
      <c r="AY6">
        <v>34</v>
      </c>
      <c r="AZ6">
        <v>29</v>
      </c>
      <c r="BA6">
        <v>28</v>
      </c>
      <c r="BB6">
        <v>26</v>
      </c>
      <c r="BC6">
        <v>58</v>
      </c>
      <c r="BD6">
        <v>30</v>
      </c>
      <c r="BE6">
        <v>47</v>
      </c>
      <c r="BF6">
        <v>39</v>
      </c>
      <c r="BG6">
        <v>45</v>
      </c>
      <c r="BH6">
        <v>32</v>
      </c>
      <c r="BI6">
        <v>17</v>
      </c>
      <c r="BJ6">
        <v>26</v>
      </c>
      <c r="BK6">
        <v>26</v>
      </c>
      <c r="BL6">
        <v>18</v>
      </c>
      <c r="BM6">
        <v>14</v>
      </c>
      <c r="BN6">
        <v>17</v>
      </c>
      <c r="BO6">
        <v>33</v>
      </c>
      <c r="BP6">
        <v>7</v>
      </c>
      <c r="BQ6">
        <v>12</v>
      </c>
      <c r="BR6">
        <v>20</v>
      </c>
      <c r="BS6">
        <v>60</v>
      </c>
      <c r="BU6" s="1">
        <f>AVERAGE(Table9[[#This Row],[1-Jan-21]:[1-Dec-25]])</f>
        <v>34.81666666666667</v>
      </c>
    </row>
    <row r="7" spans="1:75" x14ac:dyDescent="0.55000000000000004">
      <c r="A7">
        <v>6</v>
      </c>
      <c r="B7" t="s">
        <v>71</v>
      </c>
      <c r="C7" t="s">
        <v>72</v>
      </c>
      <c r="D7" t="s">
        <v>73</v>
      </c>
      <c r="E7" t="s">
        <v>87</v>
      </c>
      <c r="F7">
        <v>107733</v>
      </c>
      <c r="G7" t="s">
        <v>88</v>
      </c>
      <c r="H7" t="s">
        <v>76</v>
      </c>
      <c r="I7" t="s">
        <v>80</v>
      </c>
      <c r="J7">
        <v>178.12</v>
      </c>
      <c r="K7">
        <v>38</v>
      </c>
      <c r="L7">
        <v>20</v>
      </c>
      <c r="M7">
        <v>14</v>
      </c>
      <c r="N7">
        <v>32</v>
      </c>
      <c r="O7">
        <v>4</v>
      </c>
      <c r="P7">
        <v>24</v>
      </c>
      <c r="Q7">
        <v>18</v>
      </c>
      <c r="R7">
        <v>36</v>
      </c>
      <c r="S7">
        <v>10</v>
      </c>
      <c r="T7">
        <v>18</v>
      </c>
      <c r="U7">
        <v>46</v>
      </c>
      <c r="V7">
        <v>9</v>
      </c>
      <c r="W7">
        <v>16</v>
      </c>
      <c r="X7">
        <v>8</v>
      </c>
      <c r="Y7">
        <v>14</v>
      </c>
      <c r="Z7">
        <v>21</v>
      </c>
      <c r="AA7">
        <v>10</v>
      </c>
      <c r="AB7">
        <v>0</v>
      </c>
      <c r="AC7">
        <v>8</v>
      </c>
      <c r="AD7">
        <v>18</v>
      </c>
      <c r="AE7">
        <v>8</v>
      </c>
      <c r="AF7">
        <v>14</v>
      </c>
      <c r="AG7">
        <v>4</v>
      </c>
      <c r="AH7">
        <v>22</v>
      </c>
      <c r="AI7">
        <v>0</v>
      </c>
      <c r="AJ7">
        <v>16</v>
      </c>
      <c r="AK7">
        <v>0</v>
      </c>
      <c r="AL7">
        <v>0</v>
      </c>
      <c r="AM7">
        <v>16</v>
      </c>
      <c r="AN7">
        <v>0</v>
      </c>
      <c r="AO7">
        <v>14</v>
      </c>
      <c r="AP7">
        <v>0</v>
      </c>
      <c r="AQ7">
        <v>8</v>
      </c>
      <c r="AR7">
        <v>14</v>
      </c>
      <c r="AS7">
        <v>8</v>
      </c>
      <c r="AT7">
        <v>14</v>
      </c>
      <c r="AU7">
        <v>24</v>
      </c>
      <c r="AV7">
        <v>10</v>
      </c>
      <c r="AW7">
        <v>0</v>
      </c>
      <c r="AX7">
        <v>10</v>
      </c>
      <c r="AY7">
        <v>8</v>
      </c>
      <c r="AZ7">
        <v>16</v>
      </c>
      <c r="BA7">
        <v>10</v>
      </c>
      <c r="BB7">
        <v>5</v>
      </c>
      <c r="BC7">
        <v>26</v>
      </c>
      <c r="BD7">
        <v>16</v>
      </c>
      <c r="BE7">
        <v>10</v>
      </c>
      <c r="BF7">
        <v>24</v>
      </c>
      <c r="BG7">
        <v>34</v>
      </c>
      <c r="BH7">
        <v>12</v>
      </c>
      <c r="BI7">
        <v>8</v>
      </c>
      <c r="BJ7">
        <v>14</v>
      </c>
      <c r="BK7">
        <v>0</v>
      </c>
      <c r="BL7">
        <v>4</v>
      </c>
      <c r="BM7">
        <v>20</v>
      </c>
      <c r="BN7">
        <v>18</v>
      </c>
      <c r="BO7">
        <v>10</v>
      </c>
      <c r="BP7">
        <v>10</v>
      </c>
      <c r="BQ7">
        <v>0</v>
      </c>
      <c r="BR7">
        <v>0</v>
      </c>
      <c r="BS7">
        <v>50</v>
      </c>
      <c r="BU7" s="1">
        <f>AVERAGE(Table9[[#This Row],[1-Jan-21]:[1-Dec-25]])</f>
        <v>13.183333333333334</v>
      </c>
    </row>
    <row r="8" spans="1:75" x14ac:dyDescent="0.55000000000000004">
      <c r="A8">
        <v>7</v>
      </c>
      <c r="B8" t="s">
        <v>71</v>
      </c>
      <c r="C8" t="s">
        <v>72</v>
      </c>
      <c r="D8" t="s">
        <v>73</v>
      </c>
      <c r="E8" t="s">
        <v>89</v>
      </c>
      <c r="F8">
        <v>148706</v>
      </c>
      <c r="G8" t="s">
        <v>90</v>
      </c>
      <c r="H8" t="s">
        <v>76</v>
      </c>
      <c r="I8" t="s">
        <v>80</v>
      </c>
      <c r="J8">
        <v>173.68</v>
      </c>
      <c r="K8">
        <v>4</v>
      </c>
      <c r="L8">
        <v>5</v>
      </c>
      <c r="M8">
        <v>4</v>
      </c>
      <c r="N8">
        <v>8</v>
      </c>
      <c r="O8">
        <v>2</v>
      </c>
      <c r="P8">
        <v>10</v>
      </c>
      <c r="Q8">
        <v>0</v>
      </c>
      <c r="R8">
        <v>12</v>
      </c>
      <c r="S8">
        <v>14</v>
      </c>
      <c r="T8">
        <v>18</v>
      </c>
      <c r="U8">
        <v>4</v>
      </c>
      <c r="V8">
        <v>34</v>
      </c>
      <c r="W8">
        <v>0</v>
      </c>
      <c r="X8">
        <v>4</v>
      </c>
      <c r="Y8">
        <v>2</v>
      </c>
      <c r="Z8">
        <v>4</v>
      </c>
      <c r="AA8">
        <v>14</v>
      </c>
      <c r="AB8">
        <v>12</v>
      </c>
      <c r="AC8">
        <v>6</v>
      </c>
      <c r="AD8">
        <v>0</v>
      </c>
      <c r="AE8">
        <v>8</v>
      </c>
      <c r="AF8">
        <v>6</v>
      </c>
      <c r="AG8">
        <v>18</v>
      </c>
      <c r="AH8">
        <v>18</v>
      </c>
      <c r="AI8">
        <v>0</v>
      </c>
      <c r="AJ8">
        <v>0</v>
      </c>
      <c r="AK8">
        <v>4</v>
      </c>
      <c r="AL8">
        <v>0</v>
      </c>
      <c r="AM8">
        <v>4</v>
      </c>
      <c r="AN8">
        <v>8</v>
      </c>
      <c r="AO8">
        <v>4</v>
      </c>
      <c r="AP8">
        <v>2</v>
      </c>
      <c r="AQ8">
        <v>12</v>
      </c>
      <c r="AR8">
        <v>8</v>
      </c>
      <c r="AS8">
        <v>4</v>
      </c>
      <c r="AT8">
        <v>8</v>
      </c>
      <c r="AU8">
        <v>2</v>
      </c>
      <c r="AV8">
        <v>0</v>
      </c>
      <c r="AW8">
        <v>5</v>
      </c>
      <c r="AX8">
        <v>2</v>
      </c>
      <c r="AY8">
        <v>10</v>
      </c>
      <c r="AZ8">
        <v>2</v>
      </c>
      <c r="BA8">
        <v>4</v>
      </c>
      <c r="BB8">
        <v>16</v>
      </c>
      <c r="BC8">
        <v>8</v>
      </c>
      <c r="BD8">
        <v>4</v>
      </c>
      <c r="BE8">
        <v>6</v>
      </c>
      <c r="BF8">
        <v>22</v>
      </c>
      <c r="BG8">
        <v>8</v>
      </c>
      <c r="BH8">
        <v>6</v>
      </c>
      <c r="BI8">
        <v>4</v>
      </c>
      <c r="BJ8">
        <v>4</v>
      </c>
      <c r="BK8">
        <v>2</v>
      </c>
      <c r="BL8">
        <v>12</v>
      </c>
      <c r="BM8">
        <v>4</v>
      </c>
      <c r="BN8">
        <v>4</v>
      </c>
      <c r="BO8">
        <v>16</v>
      </c>
      <c r="BP8">
        <v>8</v>
      </c>
      <c r="BQ8">
        <v>2</v>
      </c>
      <c r="BR8">
        <v>14</v>
      </c>
      <c r="BS8">
        <v>53</v>
      </c>
      <c r="BU8" s="1">
        <f>AVERAGE(Table9[[#This Row],[1-Jan-21]:[1-Dec-25]])</f>
        <v>7.1</v>
      </c>
    </row>
    <row r="9" spans="1:75" x14ac:dyDescent="0.55000000000000004">
      <c r="A9">
        <v>8</v>
      </c>
      <c r="B9" t="s">
        <v>71</v>
      </c>
      <c r="C9" t="s">
        <v>72</v>
      </c>
      <c r="D9" t="s">
        <v>73</v>
      </c>
      <c r="E9" t="s">
        <v>91</v>
      </c>
      <c r="F9">
        <v>140064</v>
      </c>
      <c r="G9" t="s">
        <v>92</v>
      </c>
      <c r="H9" t="s">
        <v>76</v>
      </c>
      <c r="I9" t="s">
        <v>80</v>
      </c>
      <c r="J9">
        <v>242.99</v>
      </c>
      <c r="K9">
        <v>32</v>
      </c>
      <c r="L9">
        <v>10</v>
      </c>
      <c r="M9">
        <v>42</v>
      </c>
      <c r="N9">
        <v>34</v>
      </c>
      <c r="O9">
        <v>20</v>
      </c>
      <c r="P9">
        <v>22</v>
      </c>
      <c r="Q9">
        <v>8</v>
      </c>
      <c r="R9">
        <v>8</v>
      </c>
      <c r="S9">
        <v>0</v>
      </c>
      <c r="T9">
        <v>0</v>
      </c>
      <c r="U9">
        <v>0</v>
      </c>
      <c r="V9">
        <v>0</v>
      </c>
      <c r="W9">
        <v>12</v>
      </c>
      <c r="X9">
        <v>6</v>
      </c>
      <c r="Y9">
        <v>10</v>
      </c>
      <c r="Z9">
        <v>0</v>
      </c>
      <c r="AA9">
        <v>10</v>
      </c>
      <c r="AB9">
        <v>6</v>
      </c>
      <c r="AC9">
        <v>0</v>
      </c>
      <c r="AD9">
        <v>6</v>
      </c>
      <c r="AE9">
        <v>20</v>
      </c>
      <c r="AF9">
        <v>12</v>
      </c>
      <c r="AG9">
        <v>0</v>
      </c>
      <c r="AH9">
        <v>8</v>
      </c>
      <c r="AI9">
        <v>14</v>
      </c>
      <c r="AJ9">
        <v>12</v>
      </c>
      <c r="AK9">
        <v>22</v>
      </c>
      <c r="AL9">
        <v>8</v>
      </c>
      <c r="AM9">
        <v>9</v>
      </c>
      <c r="AN9">
        <v>0</v>
      </c>
      <c r="AO9">
        <v>16</v>
      </c>
      <c r="AP9">
        <v>0</v>
      </c>
      <c r="AQ9">
        <v>4</v>
      </c>
      <c r="AR9">
        <v>0</v>
      </c>
      <c r="AS9">
        <v>4</v>
      </c>
      <c r="AT9">
        <v>0</v>
      </c>
      <c r="AU9">
        <v>0</v>
      </c>
      <c r="AV9">
        <v>5</v>
      </c>
      <c r="AW9">
        <v>5</v>
      </c>
      <c r="AX9">
        <v>0</v>
      </c>
      <c r="AY9">
        <v>12</v>
      </c>
      <c r="AZ9">
        <v>8</v>
      </c>
      <c r="BA9">
        <v>0</v>
      </c>
      <c r="BB9">
        <v>15</v>
      </c>
      <c r="BC9">
        <v>10</v>
      </c>
      <c r="BD9">
        <v>0</v>
      </c>
      <c r="BE9">
        <v>18</v>
      </c>
      <c r="BF9">
        <v>2</v>
      </c>
      <c r="BG9">
        <v>16</v>
      </c>
      <c r="BH9">
        <v>20</v>
      </c>
      <c r="BI9">
        <v>18</v>
      </c>
      <c r="BJ9">
        <v>12</v>
      </c>
      <c r="BK9">
        <v>20</v>
      </c>
      <c r="BL9">
        <v>8</v>
      </c>
      <c r="BM9">
        <v>4</v>
      </c>
      <c r="BN9">
        <v>19</v>
      </c>
      <c r="BO9">
        <v>1</v>
      </c>
      <c r="BP9">
        <v>0</v>
      </c>
      <c r="BQ9">
        <v>0</v>
      </c>
      <c r="BR9">
        <v>10</v>
      </c>
      <c r="BS9">
        <v>43</v>
      </c>
      <c r="BU9" s="1">
        <f>AVERAGE(Table9[[#This Row],[1-Jan-21]:[1-Dec-25]])</f>
        <v>9.3000000000000007</v>
      </c>
    </row>
    <row r="10" spans="1:75" x14ac:dyDescent="0.55000000000000004">
      <c r="A10">
        <v>9</v>
      </c>
      <c r="B10" t="s">
        <v>71</v>
      </c>
      <c r="C10" t="s">
        <v>72</v>
      </c>
      <c r="D10" t="s">
        <v>73</v>
      </c>
      <c r="E10" t="s">
        <v>87</v>
      </c>
      <c r="F10">
        <v>107601</v>
      </c>
      <c r="G10" t="s">
        <v>93</v>
      </c>
      <c r="H10" t="s">
        <v>76</v>
      </c>
      <c r="I10" t="s">
        <v>80</v>
      </c>
      <c r="J10">
        <v>2.19</v>
      </c>
      <c r="K10">
        <v>112</v>
      </c>
      <c r="L10">
        <v>60</v>
      </c>
      <c r="M10">
        <v>192</v>
      </c>
      <c r="N10">
        <v>120</v>
      </c>
      <c r="O10">
        <v>166</v>
      </c>
      <c r="P10">
        <v>100</v>
      </c>
      <c r="Q10">
        <v>227</v>
      </c>
      <c r="R10">
        <v>55</v>
      </c>
      <c r="S10">
        <v>110</v>
      </c>
      <c r="T10">
        <v>45</v>
      </c>
      <c r="U10">
        <v>140</v>
      </c>
      <c r="V10">
        <v>229</v>
      </c>
      <c r="W10">
        <v>165</v>
      </c>
      <c r="X10">
        <v>125</v>
      </c>
      <c r="Y10">
        <v>155</v>
      </c>
      <c r="Z10">
        <v>69</v>
      </c>
      <c r="AA10">
        <v>195</v>
      </c>
      <c r="AB10">
        <v>135</v>
      </c>
      <c r="AC10">
        <v>40</v>
      </c>
      <c r="AD10">
        <v>100</v>
      </c>
      <c r="AE10">
        <v>10</v>
      </c>
      <c r="AF10">
        <v>60</v>
      </c>
      <c r="AG10">
        <v>70</v>
      </c>
      <c r="AH10">
        <v>30</v>
      </c>
      <c r="AI10">
        <v>70</v>
      </c>
      <c r="AJ10">
        <v>20</v>
      </c>
      <c r="AK10">
        <v>63</v>
      </c>
      <c r="AL10">
        <v>64</v>
      </c>
      <c r="AM10">
        <v>90</v>
      </c>
      <c r="AN10">
        <v>10</v>
      </c>
      <c r="AO10">
        <v>92</v>
      </c>
      <c r="AP10">
        <v>62</v>
      </c>
      <c r="AQ10">
        <v>40</v>
      </c>
      <c r="AR10">
        <v>301</v>
      </c>
      <c r="AS10">
        <v>20</v>
      </c>
      <c r="AT10">
        <v>125</v>
      </c>
      <c r="AU10">
        <v>39</v>
      </c>
      <c r="AV10">
        <v>29</v>
      </c>
      <c r="AW10">
        <v>63</v>
      </c>
      <c r="AX10">
        <v>80</v>
      </c>
      <c r="AY10">
        <v>75</v>
      </c>
      <c r="AZ10">
        <v>0</v>
      </c>
      <c r="BA10">
        <v>20</v>
      </c>
      <c r="BB10">
        <v>65</v>
      </c>
      <c r="BC10">
        <v>120</v>
      </c>
      <c r="BD10">
        <v>14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45</v>
      </c>
      <c r="BU10" s="1">
        <f>AVERAGE(Table9[[#This Row],[1-Jan-21]:[1-Dec-25]])</f>
        <v>69.533333333333331</v>
      </c>
    </row>
    <row r="11" spans="1:75" x14ac:dyDescent="0.55000000000000004">
      <c r="A11">
        <v>10</v>
      </c>
      <c r="B11" t="s">
        <v>71</v>
      </c>
      <c r="C11" t="s">
        <v>72</v>
      </c>
      <c r="D11" t="s">
        <v>73</v>
      </c>
      <c r="E11" t="s">
        <v>87</v>
      </c>
      <c r="F11">
        <v>107610</v>
      </c>
      <c r="G11" t="s">
        <v>94</v>
      </c>
      <c r="H11" t="s">
        <v>76</v>
      </c>
      <c r="I11" t="s">
        <v>80</v>
      </c>
      <c r="J11">
        <v>4.63</v>
      </c>
      <c r="K11">
        <v>160</v>
      </c>
      <c r="L11">
        <v>36</v>
      </c>
      <c r="M11">
        <v>350</v>
      </c>
      <c r="N11">
        <v>224</v>
      </c>
      <c r="O11">
        <v>80</v>
      </c>
      <c r="P11">
        <v>345</v>
      </c>
      <c r="Q11">
        <v>182</v>
      </c>
      <c r="R11">
        <v>225</v>
      </c>
      <c r="S11">
        <v>175</v>
      </c>
      <c r="T11">
        <v>147</v>
      </c>
      <c r="U11">
        <v>225</v>
      </c>
      <c r="V11">
        <v>354</v>
      </c>
      <c r="W11">
        <v>425</v>
      </c>
      <c r="X11">
        <v>111</v>
      </c>
      <c r="Y11">
        <v>120</v>
      </c>
      <c r="Z11">
        <v>136</v>
      </c>
      <c r="AA11">
        <v>195</v>
      </c>
      <c r="AB11">
        <v>255</v>
      </c>
      <c r="AC11">
        <v>15</v>
      </c>
      <c r="AD11">
        <v>50</v>
      </c>
      <c r="AE11">
        <v>30</v>
      </c>
      <c r="AF11">
        <v>133</v>
      </c>
      <c r="AG11">
        <v>40</v>
      </c>
      <c r="AH11">
        <v>216</v>
      </c>
      <c r="AI11">
        <v>239</v>
      </c>
      <c r="AJ11">
        <v>198</v>
      </c>
      <c r="AK11">
        <v>70</v>
      </c>
      <c r="AL11">
        <v>157</v>
      </c>
      <c r="AM11">
        <v>128</v>
      </c>
      <c r="AN11">
        <v>152</v>
      </c>
      <c r="AO11">
        <v>60</v>
      </c>
      <c r="AP11">
        <v>125</v>
      </c>
      <c r="AQ11">
        <v>30</v>
      </c>
      <c r="AR11">
        <v>83</v>
      </c>
      <c r="AS11">
        <v>166</v>
      </c>
      <c r="AT11">
        <v>315</v>
      </c>
      <c r="AU11">
        <v>204</v>
      </c>
      <c r="AV11">
        <v>425</v>
      </c>
      <c r="AW11">
        <v>300</v>
      </c>
      <c r="AX11">
        <v>122</v>
      </c>
      <c r="AY11">
        <v>300</v>
      </c>
      <c r="AZ11">
        <v>56</v>
      </c>
      <c r="BA11">
        <v>30</v>
      </c>
      <c r="BB11">
        <v>49</v>
      </c>
      <c r="BC11">
        <v>235</v>
      </c>
      <c r="BD11">
        <v>263</v>
      </c>
      <c r="BE11">
        <v>421</v>
      </c>
      <c r="BF11">
        <v>826</v>
      </c>
      <c r="BG11">
        <v>585</v>
      </c>
      <c r="BH11">
        <v>200</v>
      </c>
      <c r="BI11">
        <v>138</v>
      </c>
      <c r="BJ11">
        <v>15</v>
      </c>
      <c r="BK11">
        <v>187</v>
      </c>
      <c r="BL11">
        <v>0</v>
      </c>
      <c r="BM11">
        <v>384</v>
      </c>
      <c r="BN11">
        <v>130</v>
      </c>
      <c r="BO11">
        <v>158</v>
      </c>
      <c r="BP11">
        <v>132</v>
      </c>
      <c r="BQ11">
        <v>245</v>
      </c>
      <c r="BR11">
        <v>320</v>
      </c>
      <c r="BS11">
        <v>59</v>
      </c>
      <c r="BU11" s="1">
        <f>AVERAGE(Table9[[#This Row],[1-Jan-21]:[1-Dec-25]])</f>
        <v>194.61666666666667</v>
      </c>
    </row>
    <row r="12" spans="1:75" x14ac:dyDescent="0.55000000000000004">
      <c r="A12">
        <v>11</v>
      </c>
      <c r="B12" t="s">
        <v>71</v>
      </c>
      <c r="C12" t="s">
        <v>72</v>
      </c>
      <c r="D12" t="s">
        <v>73</v>
      </c>
      <c r="E12" t="s">
        <v>87</v>
      </c>
      <c r="F12">
        <v>107705</v>
      </c>
      <c r="G12" t="s">
        <v>95</v>
      </c>
      <c r="H12" t="s">
        <v>76</v>
      </c>
      <c r="I12" t="s">
        <v>80</v>
      </c>
      <c r="J12">
        <v>3.47</v>
      </c>
      <c r="K12">
        <v>20</v>
      </c>
      <c r="L12">
        <v>15</v>
      </c>
      <c r="M12">
        <v>60</v>
      </c>
      <c r="N12">
        <v>70</v>
      </c>
      <c r="O12">
        <v>80</v>
      </c>
      <c r="P12">
        <v>35</v>
      </c>
      <c r="Q12">
        <v>10</v>
      </c>
      <c r="R12">
        <v>35</v>
      </c>
      <c r="S12">
        <v>80</v>
      </c>
      <c r="T12">
        <v>35</v>
      </c>
      <c r="U12">
        <v>45</v>
      </c>
      <c r="V12">
        <v>30</v>
      </c>
      <c r="W12">
        <v>90</v>
      </c>
      <c r="X12">
        <v>40</v>
      </c>
      <c r="Y12">
        <v>120</v>
      </c>
      <c r="Z12">
        <v>80</v>
      </c>
      <c r="AA12">
        <v>130</v>
      </c>
      <c r="AB12">
        <v>170</v>
      </c>
      <c r="AC12">
        <v>31</v>
      </c>
      <c r="AD12">
        <v>0</v>
      </c>
      <c r="AE12">
        <v>80</v>
      </c>
      <c r="AF12">
        <v>72</v>
      </c>
      <c r="AG12">
        <v>56</v>
      </c>
      <c r="AH12">
        <v>76</v>
      </c>
      <c r="AI12">
        <v>180</v>
      </c>
      <c r="AJ12">
        <v>5</v>
      </c>
      <c r="AK12">
        <v>15</v>
      </c>
      <c r="AL12">
        <v>0</v>
      </c>
      <c r="AM12">
        <v>0</v>
      </c>
      <c r="AN12">
        <v>113</v>
      </c>
      <c r="AO12">
        <v>20</v>
      </c>
      <c r="AP12">
        <v>0</v>
      </c>
      <c r="AQ12">
        <v>15</v>
      </c>
      <c r="AR12">
        <v>40</v>
      </c>
      <c r="AS12">
        <v>25</v>
      </c>
      <c r="AT12">
        <v>10</v>
      </c>
      <c r="AU12">
        <v>0</v>
      </c>
      <c r="AV12">
        <v>110</v>
      </c>
      <c r="AW12">
        <v>34</v>
      </c>
      <c r="AX12">
        <v>50</v>
      </c>
      <c r="AY12">
        <v>0</v>
      </c>
      <c r="AZ12">
        <v>0</v>
      </c>
      <c r="BA12">
        <v>86</v>
      </c>
      <c r="BB12">
        <v>0</v>
      </c>
      <c r="BC12">
        <v>0</v>
      </c>
      <c r="BD12">
        <v>66</v>
      </c>
      <c r="BE12">
        <v>42</v>
      </c>
      <c r="BF12">
        <v>2</v>
      </c>
      <c r="BG12">
        <v>35</v>
      </c>
      <c r="BH12">
        <v>8</v>
      </c>
      <c r="BI12">
        <v>0</v>
      </c>
      <c r="BJ12">
        <v>20</v>
      </c>
      <c r="BK12">
        <v>20</v>
      </c>
      <c r="BL12">
        <v>0</v>
      </c>
      <c r="BM12">
        <v>0</v>
      </c>
      <c r="BN12">
        <v>0</v>
      </c>
      <c r="BO12">
        <v>8</v>
      </c>
      <c r="BP12">
        <v>20</v>
      </c>
      <c r="BQ12">
        <v>40</v>
      </c>
      <c r="BR12">
        <v>6</v>
      </c>
      <c r="BS12">
        <v>47</v>
      </c>
      <c r="BU12" s="1">
        <f>AVERAGE(Table9[[#This Row],[1-Jan-21]:[1-Dec-25]])</f>
        <v>40.5</v>
      </c>
    </row>
    <row r="13" spans="1:75" x14ac:dyDescent="0.55000000000000004">
      <c r="A13">
        <v>12</v>
      </c>
      <c r="B13" t="s">
        <v>71</v>
      </c>
      <c r="C13" t="s">
        <v>72</v>
      </c>
      <c r="D13" t="s">
        <v>73</v>
      </c>
      <c r="E13" t="s">
        <v>96</v>
      </c>
      <c r="F13">
        <v>109116</v>
      </c>
      <c r="G13" t="s">
        <v>97</v>
      </c>
      <c r="H13" t="s">
        <v>76</v>
      </c>
      <c r="I13" t="s">
        <v>80</v>
      </c>
      <c r="J13">
        <v>81.040000000000006</v>
      </c>
      <c r="K13">
        <v>74</v>
      </c>
      <c r="L13">
        <v>12</v>
      </c>
      <c r="M13">
        <v>44</v>
      </c>
      <c r="N13">
        <v>30</v>
      </c>
      <c r="O13">
        <v>21</v>
      </c>
      <c r="P13">
        <v>30</v>
      </c>
      <c r="Q13">
        <v>21</v>
      </c>
      <c r="R13">
        <v>23</v>
      </c>
      <c r="S13">
        <v>14</v>
      </c>
      <c r="T13">
        <v>20</v>
      </c>
      <c r="U13">
        <v>28</v>
      </c>
      <c r="V13">
        <v>10</v>
      </c>
      <c r="W13">
        <v>23</v>
      </c>
      <c r="X13">
        <v>33</v>
      </c>
      <c r="Y13">
        <v>23</v>
      </c>
      <c r="Z13">
        <v>20</v>
      </c>
      <c r="AA13">
        <v>13</v>
      </c>
      <c r="AB13">
        <v>25</v>
      </c>
      <c r="AC13">
        <v>10</v>
      </c>
      <c r="AD13">
        <v>18</v>
      </c>
      <c r="AE13">
        <v>9</v>
      </c>
      <c r="AF13">
        <v>15</v>
      </c>
      <c r="AG13">
        <v>20</v>
      </c>
      <c r="AH13">
        <v>30</v>
      </c>
      <c r="AI13">
        <v>15</v>
      </c>
      <c r="AJ13">
        <v>24</v>
      </c>
      <c r="AK13">
        <v>10</v>
      </c>
      <c r="AL13">
        <v>25</v>
      </c>
      <c r="AM13">
        <v>48</v>
      </c>
      <c r="AN13">
        <v>12</v>
      </c>
      <c r="AO13">
        <v>30</v>
      </c>
      <c r="AP13">
        <v>3</v>
      </c>
      <c r="AQ13">
        <v>36</v>
      </c>
      <c r="AR13">
        <v>2</v>
      </c>
      <c r="AS13">
        <v>10</v>
      </c>
      <c r="AT13">
        <v>17</v>
      </c>
      <c r="AU13">
        <v>7</v>
      </c>
      <c r="AV13">
        <v>27</v>
      </c>
      <c r="AW13">
        <v>24</v>
      </c>
      <c r="AX13">
        <v>22</v>
      </c>
      <c r="AY13">
        <v>32</v>
      </c>
      <c r="AZ13">
        <v>20</v>
      </c>
      <c r="BA13">
        <v>0</v>
      </c>
      <c r="BB13">
        <v>30</v>
      </c>
      <c r="BC13">
        <v>18</v>
      </c>
      <c r="BD13">
        <v>27</v>
      </c>
      <c r="BE13">
        <v>8</v>
      </c>
      <c r="BF13">
        <v>30</v>
      </c>
      <c r="BG13">
        <v>21</v>
      </c>
      <c r="BH13">
        <v>43</v>
      </c>
      <c r="BI13">
        <v>13</v>
      </c>
      <c r="BJ13">
        <v>17</v>
      </c>
      <c r="BK13">
        <v>36</v>
      </c>
      <c r="BL13">
        <v>10</v>
      </c>
      <c r="BM13">
        <v>10</v>
      </c>
      <c r="BN13">
        <v>10</v>
      </c>
      <c r="BO13">
        <v>23</v>
      </c>
      <c r="BP13">
        <v>11</v>
      </c>
      <c r="BQ13">
        <v>6</v>
      </c>
      <c r="BR13">
        <v>2</v>
      </c>
      <c r="BS13">
        <v>59</v>
      </c>
      <c r="BU13" s="1">
        <f>AVERAGE(Table9[[#This Row],[1-Jan-21]:[1-Dec-25]])</f>
        <v>20.75</v>
      </c>
    </row>
    <row r="14" spans="1:75" x14ac:dyDescent="0.55000000000000004">
      <c r="A14">
        <v>13</v>
      </c>
      <c r="B14" t="s">
        <v>71</v>
      </c>
      <c r="C14" t="s">
        <v>72</v>
      </c>
      <c r="D14" t="s">
        <v>73</v>
      </c>
      <c r="E14" t="s">
        <v>96</v>
      </c>
      <c r="F14">
        <v>109118</v>
      </c>
      <c r="G14" t="s">
        <v>98</v>
      </c>
      <c r="H14" t="s">
        <v>76</v>
      </c>
      <c r="I14" t="s">
        <v>80</v>
      </c>
      <c r="J14">
        <v>110</v>
      </c>
      <c r="K14">
        <v>36</v>
      </c>
      <c r="L14">
        <v>17</v>
      </c>
      <c r="M14">
        <v>45</v>
      </c>
      <c r="N14">
        <v>16</v>
      </c>
      <c r="O14">
        <v>29</v>
      </c>
      <c r="P14">
        <v>41</v>
      </c>
      <c r="Q14">
        <v>21</v>
      </c>
      <c r="R14">
        <v>35</v>
      </c>
      <c r="S14">
        <v>51</v>
      </c>
      <c r="T14">
        <v>28</v>
      </c>
      <c r="U14">
        <v>45</v>
      </c>
      <c r="V14">
        <v>24</v>
      </c>
      <c r="W14">
        <v>41</v>
      </c>
      <c r="X14">
        <v>22</v>
      </c>
      <c r="Y14">
        <v>54</v>
      </c>
      <c r="Z14">
        <v>32</v>
      </c>
      <c r="AA14">
        <v>42</v>
      </c>
      <c r="AB14">
        <v>19</v>
      </c>
      <c r="AC14">
        <v>17</v>
      </c>
      <c r="AD14">
        <v>11</v>
      </c>
      <c r="AE14">
        <v>10</v>
      </c>
      <c r="AF14">
        <v>19</v>
      </c>
      <c r="AG14">
        <v>11</v>
      </c>
      <c r="AH14">
        <v>15</v>
      </c>
      <c r="AI14">
        <v>12</v>
      </c>
      <c r="AJ14">
        <v>3</v>
      </c>
      <c r="AK14">
        <v>7</v>
      </c>
      <c r="AL14">
        <v>7</v>
      </c>
      <c r="AM14">
        <v>9</v>
      </c>
      <c r="AN14">
        <v>5</v>
      </c>
      <c r="AO14">
        <v>24</v>
      </c>
      <c r="AP14">
        <v>12</v>
      </c>
      <c r="AQ14">
        <v>2</v>
      </c>
      <c r="AR14">
        <v>16</v>
      </c>
      <c r="AS14">
        <v>17</v>
      </c>
      <c r="AT14">
        <v>14</v>
      </c>
      <c r="AU14">
        <v>12</v>
      </c>
      <c r="AV14">
        <v>29</v>
      </c>
      <c r="AW14">
        <v>13</v>
      </c>
      <c r="AX14">
        <v>5</v>
      </c>
      <c r="AY14">
        <v>18</v>
      </c>
      <c r="AZ14">
        <v>44</v>
      </c>
      <c r="BA14">
        <v>1</v>
      </c>
      <c r="BB14">
        <v>8</v>
      </c>
      <c r="BC14">
        <v>14</v>
      </c>
      <c r="BD14">
        <v>8</v>
      </c>
      <c r="BE14">
        <v>4</v>
      </c>
      <c r="BF14">
        <v>30</v>
      </c>
      <c r="BG14">
        <v>39</v>
      </c>
      <c r="BH14">
        <v>12</v>
      </c>
      <c r="BI14">
        <v>11</v>
      </c>
      <c r="BJ14">
        <v>5</v>
      </c>
      <c r="BK14">
        <v>19</v>
      </c>
      <c r="BL14">
        <v>35</v>
      </c>
      <c r="BM14">
        <v>3</v>
      </c>
      <c r="BN14">
        <v>41</v>
      </c>
      <c r="BO14">
        <v>9</v>
      </c>
      <c r="BP14">
        <v>6</v>
      </c>
      <c r="BQ14">
        <v>8</v>
      </c>
      <c r="BR14">
        <v>4</v>
      </c>
      <c r="BS14">
        <v>60</v>
      </c>
      <c r="BU14" s="1">
        <f>AVERAGE(Table9[[#This Row],[1-Jan-21]:[1-Dec-25]])</f>
        <v>19.783333333333335</v>
      </c>
    </row>
    <row r="15" spans="1:75" x14ac:dyDescent="0.55000000000000004">
      <c r="A15">
        <v>14</v>
      </c>
      <c r="B15" t="s">
        <v>71</v>
      </c>
      <c r="C15" t="s">
        <v>72</v>
      </c>
      <c r="D15" t="s">
        <v>73</v>
      </c>
      <c r="E15" t="s">
        <v>99</v>
      </c>
      <c r="F15">
        <v>121152</v>
      </c>
      <c r="G15" t="s">
        <v>100</v>
      </c>
      <c r="H15" t="s">
        <v>76</v>
      </c>
      <c r="I15" t="s">
        <v>80</v>
      </c>
      <c r="J15">
        <v>310.38</v>
      </c>
      <c r="K15">
        <v>4</v>
      </c>
      <c r="L15">
        <v>5</v>
      </c>
      <c r="M15">
        <v>14</v>
      </c>
      <c r="N15">
        <v>0</v>
      </c>
      <c r="O15">
        <v>12</v>
      </c>
      <c r="P15">
        <v>43</v>
      </c>
      <c r="Q15">
        <v>14</v>
      </c>
      <c r="R15">
        <v>10</v>
      </c>
      <c r="S15">
        <v>10</v>
      </c>
      <c r="T15">
        <v>10</v>
      </c>
      <c r="U15">
        <v>0</v>
      </c>
      <c r="V15">
        <v>8</v>
      </c>
      <c r="W15">
        <v>13</v>
      </c>
      <c r="X15">
        <v>2</v>
      </c>
      <c r="Y15">
        <v>4</v>
      </c>
      <c r="Z15">
        <v>6</v>
      </c>
      <c r="AA15">
        <v>12</v>
      </c>
      <c r="AB15">
        <v>18</v>
      </c>
      <c r="AC15">
        <v>4</v>
      </c>
      <c r="AD15">
        <v>5</v>
      </c>
      <c r="AE15">
        <v>8</v>
      </c>
      <c r="AF15">
        <v>64</v>
      </c>
      <c r="AG15">
        <v>5</v>
      </c>
      <c r="AH15">
        <v>11</v>
      </c>
      <c r="AI15">
        <v>6</v>
      </c>
      <c r="AJ15">
        <v>12</v>
      </c>
      <c r="AK15">
        <v>0</v>
      </c>
      <c r="AL15">
        <v>0</v>
      </c>
      <c r="AM15">
        <v>8</v>
      </c>
      <c r="AN15">
        <v>10</v>
      </c>
      <c r="AO15">
        <v>6</v>
      </c>
      <c r="AP15">
        <v>2</v>
      </c>
      <c r="AQ15">
        <v>4</v>
      </c>
      <c r="AR15">
        <v>0</v>
      </c>
      <c r="AS15">
        <v>0</v>
      </c>
      <c r="AT15">
        <v>1</v>
      </c>
      <c r="AU15">
        <v>14</v>
      </c>
      <c r="AV15">
        <v>12</v>
      </c>
      <c r="AW15">
        <v>1</v>
      </c>
      <c r="AX15">
        <v>2</v>
      </c>
      <c r="AY15">
        <v>6</v>
      </c>
      <c r="AZ15">
        <v>5</v>
      </c>
      <c r="BA15">
        <v>1</v>
      </c>
      <c r="BB15">
        <v>2</v>
      </c>
      <c r="BC15">
        <v>3</v>
      </c>
      <c r="BD15">
        <v>8</v>
      </c>
      <c r="BE15">
        <v>12</v>
      </c>
      <c r="BF15">
        <v>10</v>
      </c>
      <c r="BG15">
        <v>0</v>
      </c>
      <c r="BH15">
        <v>4</v>
      </c>
      <c r="BI15">
        <v>4</v>
      </c>
      <c r="BJ15">
        <v>0</v>
      </c>
      <c r="BK15">
        <v>2</v>
      </c>
      <c r="BL15">
        <v>0</v>
      </c>
      <c r="BM15">
        <v>0</v>
      </c>
      <c r="BN15">
        <v>0</v>
      </c>
      <c r="BO15">
        <v>5</v>
      </c>
      <c r="BP15">
        <v>3</v>
      </c>
      <c r="BQ15">
        <v>6</v>
      </c>
      <c r="BR15">
        <v>0</v>
      </c>
      <c r="BS15">
        <v>48</v>
      </c>
      <c r="BU15" s="1">
        <f>AVERAGE(Table9[[#This Row],[1-Jan-21]:[1-Dec-25]])</f>
        <v>7.1833333333333336</v>
      </c>
    </row>
    <row r="16" spans="1:75" x14ac:dyDescent="0.55000000000000004">
      <c r="A16">
        <v>15</v>
      </c>
      <c r="B16" t="s">
        <v>71</v>
      </c>
      <c r="C16" t="s">
        <v>72</v>
      </c>
      <c r="D16" t="s">
        <v>73</v>
      </c>
      <c r="E16" t="s">
        <v>101</v>
      </c>
      <c r="F16">
        <v>108958</v>
      </c>
      <c r="G16" t="s">
        <v>102</v>
      </c>
      <c r="H16" t="s">
        <v>76</v>
      </c>
      <c r="I16" t="s">
        <v>80</v>
      </c>
      <c r="J16">
        <v>3.47</v>
      </c>
      <c r="K16">
        <v>300</v>
      </c>
      <c r="L16">
        <v>50</v>
      </c>
      <c r="M16">
        <v>630</v>
      </c>
      <c r="N16">
        <v>230</v>
      </c>
      <c r="O16">
        <v>220</v>
      </c>
      <c r="P16">
        <v>50</v>
      </c>
      <c r="Q16">
        <v>290</v>
      </c>
      <c r="R16">
        <v>360</v>
      </c>
      <c r="S16">
        <v>210</v>
      </c>
      <c r="T16">
        <v>550</v>
      </c>
      <c r="U16">
        <v>672</v>
      </c>
      <c r="V16">
        <v>550</v>
      </c>
      <c r="W16">
        <v>1000</v>
      </c>
      <c r="X16">
        <v>100</v>
      </c>
      <c r="Y16">
        <v>20</v>
      </c>
      <c r="Z16">
        <v>100</v>
      </c>
      <c r="AA16">
        <v>500</v>
      </c>
      <c r="AB16">
        <v>30</v>
      </c>
      <c r="AC16">
        <v>0</v>
      </c>
      <c r="AD16">
        <v>0</v>
      </c>
      <c r="AE16">
        <v>402</v>
      </c>
      <c r="AF16">
        <v>0</v>
      </c>
      <c r="AG16">
        <v>0</v>
      </c>
      <c r="AH16">
        <v>150</v>
      </c>
      <c r="AI16">
        <v>133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150</v>
      </c>
      <c r="AP16">
        <v>20</v>
      </c>
      <c r="AQ16">
        <v>100</v>
      </c>
      <c r="AR16">
        <v>0</v>
      </c>
      <c r="AS16">
        <v>100</v>
      </c>
      <c r="AT16">
        <v>0</v>
      </c>
      <c r="AU16">
        <v>50</v>
      </c>
      <c r="AV16">
        <v>2038</v>
      </c>
      <c r="AW16">
        <v>100</v>
      </c>
      <c r="AX16">
        <v>0</v>
      </c>
      <c r="AY16">
        <v>600</v>
      </c>
      <c r="AZ16">
        <v>300</v>
      </c>
      <c r="BA16">
        <v>350</v>
      </c>
      <c r="BB16">
        <v>232</v>
      </c>
      <c r="BC16">
        <v>220</v>
      </c>
      <c r="BD16">
        <v>450</v>
      </c>
      <c r="BE16">
        <v>100</v>
      </c>
      <c r="BF16">
        <v>487</v>
      </c>
      <c r="BG16">
        <v>0</v>
      </c>
      <c r="BH16">
        <v>300</v>
      </c>
      <c r="BI16">
        <v>200</v>
      </c>
      <c r="BJ16">
        <v>550</v>
      </c>
      <c r="BK16">
        <v>0</v>
      </c>
      <c r="BL16">
        <v>300</v>
      </c>
      <c r="BM16">
        <v>2</v>
      </c>
      <c r="BN16">
        <v>200</v>
      </c>
      <c r="BO16">
        <v>0</v>
      </c>
      <c r="BP16">
        <v>200</v>
      </c>
      <c r="BQ16">
        <v>300</v>
      </c>
      <c r="BR16">
        <v>60</v>
      </c>
      <c r="BS16">
        <v>45</v>
      </c>
      <c r="BU16" s="1">
        <f>AVERAGE(Table9[[#This Row],[1-Jan-21]:[1-Dec-25]])</f>
        <v>232.6</v>
      </c>
    </row>
    <row r="17" spans="1:73" x14ac:dyDescent="0.55000000000000004">
      <c r="A17">
        <v>16</v>
      </c>
      <c r="B17" t="s">
        <v>71</v>
      </c>
      <c r="C17" t="s">
        <v>72</v>
      </c>
      <c r="D17" t="s">
        <v>73</v>
      </c>
      <c r="E17" t="s">
        <v>103</v>
      </c>
      <c r="F17">
        <v>110635</v>
      </c>
      <c r="G17" t="s">
        <v>104</v>
      </c>
      <c r="H17" t="s">
        <v>76</v>
      </c>
      <c r="I17" t="s">
        <v>105</v>
      </c>
      <c r="J17">
        <v>42.84</v>
      </c>
      <c r="K17">
        <v>437</v>
      </c>
      <c r="L17">
        <v>140</v>
      </c>
      <c r="M17">
        <v>39</v>
      </c>
      <c r="N17">
        <v>160</v>
      </c>
      <c r="O17">
        <v>195</v>
      </c>
      <c r="P17">
        <v>112</v>
      </c>
      <c r="Q17">
        <v>102</v>
      </c>
      <c r="R17">
        <v>125</v>
      </c>
      <c r="S17">
        <v>307</v>
      </c>
      <c r="T17">
        <v>150</v>
      </c>
      <c r="U17">
        <v>54</v>
      </c>
      <c r="V17">
        <v>245</v>
      </c>
      <c r="W17">
        <v>151</v>
      </c>
      <c r="X17">
        <v>304</v>
      </c>
      <c r="Y17">
        <v>64</v>
      </c>
      <c r="Z17">
        <v>41</v>
      </c>
      <c r="AA17">
        <v>160</v>
      </c>
      <c r="AB17">
        <v>521</v>
      </c>
      <c r="AC17">
        <v>27</v>
      </c>
      <c r="AD17">
        <v>160</v>
      </c>
      <c r="AE17">
        <v>90</v>
      </c>
      <c r="AF17">
        <v>110</v>
      </c>
      <c r="AG17">
        <v>170</v>
      </c>
      <c r="AH17">
        <v>131</v>
      </c>
      <c r="AI17">
        <v>80</v>
      </c>
      <c r="AJ17">
        <v>135</v>
      </c>
      <c r="AK17">
        <v>57</v>
      </c>
      <c r="AL17">
        <v>130</v>
      </c>
      <c r="AM17">
        <v>5</v>
      </c>
      <c r="AN17">
        <v>110</v>
      </c>
      <c r="AO17">
        <v>150</v>
      </c>
      <c r="AP17">
        <v>50</v>
      </c>
      <c r="AQ17">
        <v>62</v>
      </c>
      <c r="AR17">
        <v>120</v>
      </c>
      <c r="AS17">
        <v>162</v>
      </c>
      <c r="AT17">
        <v>121</v>
      </c>
      <c r="AU17">
        <v>197</v>
      </c>
      <c r="AV17">
        <v>30</v>
      </c>
      <c r="AW17">
        <v>80</v>
      </c>
      <c r="AX17">
        <v>60</v>
      </c>
      <c r="AY17">
        <v>148</v>
      </c>
      <c r="AZ17">
        <v>23</v>
      </c>
      <c r="BA17">
        <v>26</v>
      </c>
      <c r="BB17">
        <v>74</v>
      </c>
      <c r="BC17">
        <v>70</v>
      </c>
      <c r="BD17">
        <v>135</v>
      </c>
      <c r="BE17">
        <v>55</v>
      </c>
      <c r="BF17">
        <v>108</v>
      </c>
      <c r="BG17">
        <v>171</v>
      </c>
      <c r="BH17">
        <v>115</v>
      </c>
      <c r="BI17">
        <v>55</v>
      </c>
      <c r="BJ17">
        <v>90</v>
      </c>
      <c r="BK17">
        <v>20</v>
      </c>
      <c r="BL17">
        <v>45</v>
      </c>
      <c r="BM17">
        <v>74</v>
      </c>
      <c r="BN17">
        <v>133</v>
      </c>
      <c r="BO17">
        <v>82</v>
      </c>
      <c r="BP17">
        <v>170</v>
      </c>
      <c r="BQ17">
        <v>93</v>
      </c>
      <c r="BR17">
        <v>230</v>
      </c>
      <c r="BS17">
        <v>60</v>
      </c>
      <c r="BU17" s="1">
        <f>AVERAGE(Table9[[#This Row],[1-Jan-21]:[1-Dec-25]])</f>
        <v>124.35</v>
      </c>
    </row>
    <row r="18" spans="1:73" x14ac:dyDescent="0.55000000000000004">
      <c r="A18">
        <v>17</v>
      </c>
      <c r="B18" t="s">
        <v>71</v>
      </c>
      <c r="C18" t="s">
        <v>72</v>
      </c>
      <c r="D18" t="s">
        <v>73</v>
      </c>
      <c r="E18" t="s">
        <v>87</v>
      </c>
      <c r="F18">
        <v>107643</v>
      </c>
      <c r="G18" t="s">
        <v>106</v>
      </c>
      <c r="H18" t="s">
        <v>76</v>
      </c>
      <c r="I18" t="s">
        <v>80</v>
      </c>
      <c r="J18">
        <v>27.36</v>
      </c>
      <c r="K18">
        <v>123</v>
      </c>
      <c r="L18">
        <v>106</v>
      </c>
      <c r="M18">
        <v>483</v>
      </c>
      <c r="N18">
        <v>166</v>
      </c>
      <c r="O18">
        <v>53</v>
      </c>
      <c r="P18">
        <v>156</v>
      </c>
      <c r="Q18">
        <v>84</v>
      </c>
      <c r="R18">
        <v>342</v>
      </c>
      <c r="S18">
        <v>232</v>
      </c>
      <c r="T18">
        <v>145</v>
      </c>
      <c r="U18">
        <v>153</v>
      </c>
      <c r="V18">
        <v>136</v>
      </c>
      <c r="W18">
        <v>149</v>
      </c>
      <c r="X18">
        <v>56</v>
      </c>
      <c r="Y18">
        <v>103</v>
      </c>
      <c r="Z18">
        <v>175</v>
      </c>
      <c r="AA18">
        <v>152</v>
      </c>
      <c r="AB18">
        <v>211</v>
      </c>
      <c r="AC18">
        <v>38</v>
      </c>
      <c r="AD18">
        <v>35</v>
      </c>
      <c r="AE18">
        <v>24</v>
      </c>
      <c r="AF18">
        <v>35</v>
      </c>
      <c r="AG18">
        <v>46</v>
      </c>
      <c r="AH18">
        <v>19</v>
      </c>
      <c r="AI18">
        <v>12</v>
      </c>
      <c r="AJ18">
        <v>240</v>
      </c>
      <c r="AK18">
        <v>34</v>
      </c>
      <c r="AL18">
        <v>0</v>
      </c>
      <c r="AM18">
        <v>33</v>
      </c>
      <c r="AN18">
        <v>80</v>
      </c>
      <c r="AO18">
        <v>4</v>
      </c>
      <c r="AP18">
        <v>0</v>
      </c>
      <c r="AQ18">
        <v>10</v>
      </c>
      <c r="AR18">
        <v>18</v>
      </c>
      <c r="AS18">
        <v>28</v>
      </c>
      <c r="AT18">
        <v>60</v>
      </c>
      <c r="AU18">
        <v>0</v>
      </c>
      <c r="AV18">
        <v>421</v>
      </c>
      <c r="AW18">
        <v>176</v>
      </c>
      <c r="AX18">
        <v>0</v>
      </c>
      <c r="AY18">
        <v>188</v>
      </c>
      <c r="AZ18">
        <v>182</v>
      </c>
      <c r="BA18">
        <v>10</v>
      </c>
      <c r="BB18">
        <v>270</v>
      </c>
      <c r="BC18">
        <v>0</v>
      </c>
      <c r="BD18">
        <v>0</v>
      </c>
      <c r="BE18">
        <v>34</v>
      </c>
      <c r="BF18">
        <v>216</v>
      </c>
      <c r="BG18">
        <v>140</v>
      </c>
      <c r="BH18">
        <v>72</v>
      </c>
      <c r="BI18">
        <v>150</v>
      </c>
      <c r="BJ18">
        <v>170</v>
      </c>
      <c r="BK18">
        <v>60</v>
      </c>
      <c r="BL18">
        <v>120</v>
      </c>
      <c r="BM18">
        <v>100</v>
      </c>
      <c r="BN18">
        <v>40</v>
      </c>
      <c r="BO18">
        <v>230</v>
      </c>
      <c r="BP18">
        <v>61</v>
      </c>
      <c r="BQ18">
        <v>72</v>
      </c>
      <c r="BR18">
        <v>53</v>
      </c>
      <c r="BS18">
        <v>54</v>
      </c>
      <c r="BU18" s="1">
        <f>AVERAGE(Table9[[#This Row],[1-Jan-21]:[1-Dec-25]])</f>
        <v>108.43333333333334</v>
      </c>
    </row>
    <row r="19" spans="1:73" x14ac:dyDescent="0.55000000000000004">
      <c r="A19">
        <v>18</v>
      </c>
      <c r="B19" t="s">
        <v>71</v>
      </c>
      <c r="C19" t="s">
        <v>72</v>
      </c>
      <c r="D19" t="s">
        <v>73</v>
      </c>
      <c r="E19" t="s">
        <v>107</v>
      </c>
      <c r="F19">
        <v>110398</v>
      </c>
      <c r="G19" t="s">
        <v>108</v>
      </c>
      <c r="H19" t="s">
        <v>76</v>
      </c>
      <c r="I19" t="s">
        <v>80</v>
      </c>
      <c r="J19">
        <v>371.14</v>
      </c>
      <c r="K19">
        <v>3</v>
      </c>
      <c r="L19">
        <v>0</v>
      </c>
      <c r="M19">
        <v>2</v>
      </c>
      <c r="N19">
        <v>20</v>
      </c>
      <c r="O19">
        <v>15</v>
      </c>
      <c r="P19">
        <v>1</v>
      </c>
      <c r="Q19">
        <v>8</v>
      </c>
      <c r="R19">
        <v>7</v>
      </c>
      <c r="S19">
        <v>14</v>
      </c>
      <c r="T19">
        <v>15</v>
      </c>
      <c r="U19">
        <v>1</v>
      </c>
      <c r="V19">
        <v>10</v>
      </c>
      <c r="W19">
        <v>0</v>
      </c>
      <c r="X19">
        <v>7</v>
      </c>
      <c r="Y19">
        <v>10</v>
      </c>
      <c r="Z19">
        <v>7</v>
      </c>
      <c r="AA19">
        <v>15</v>
      </c>
      <c r="AB19">
        <v>5</v>
      </c>
      <c r="AC19">
        <v>0</v>
      </c>
      <c r="AD19">
        <v>10</v>
      </c>
      <c r="AE19">
        <v>17</v>
      </c>
      <c r="AF19">
        <v>9</v>
      </c>
      <c r="AG19">
        <v>3</v>
      </c>
      <c r="AH19">
        <v>4</v>
      </c>
      <c r="AI19">
        <v>15</v>
      </c>
      <c r="AJ19">
        <v>6</v>
      </c>
      <c r="AK19">
        <v>4</v>
      </c>
      <c r="AL19">
        <v>14</v>
      </c>
      <c r="AM19">
        <v>2</v>
      </c>
      <c r="AN19">
        <v>6</v>
      </c>
      <c r="AO19">
        <v>9</v>
      </c>
      <c r="AP19">
        <v>3</v>
      </c>
      <c r="AQ19">
        <v>5</v>
      </c>
      <c r="AR19">
        <v>0</v>
      </c>
      <c r="AS19">
        <v>0</v>
      </c>
      <c r="AT19">
        <v>1</v>
      </c>
      <c r="AU19">
        <v>7</v>
      </c>
      <c r="AV19">
        <v>9</v>
      </c>
      <c r="AW19">
        <v>2</v>
      </c>
      <c r="AX19">
        <v>9</v>
      </c>
      <c r="AY19">
        <v>19</v>
      </c>
      <c r="AZ19">
        <v>17</v>
      </c>
      <c r="BA19">
        <v>4</v>
      </c>
      <c r="BB19">
        <v>12</v>
      </c>
      <c r="BC19">
        <v>7</v>
      </c>
      <c r="BD19">
        <v>11</v>
      </c>
      <c r="BE19">
        <v>19</v>
      </c>
      <c r="BF19">
        <v>4</v>
      </c>
      <c r="BG19">
        <v>6</v>
      </c>
      <c r="BH19">
        <v>2</v>
      </c>
      <c r="BI19">
        <v>3</v>
      </c>
      <c r="BJ19">
        <v>10</v>
      </c>
      <c r="BK19">
        <v>3</v>
      </c>
      <c r="BL19">
        <v>6</v>
      </c>
      <c r="BM19">
        <v>13</v>
      </c>
      <c r="BN19">
        <v>17</v>
      </c>
      <c r="BO19">
        <v>12</v>
      </c>
      <c r="BP19">
        <v>17</v>
      </c>
      <c r="BQ19">
        <v>2</v>
      </c>
      <c r="BR19">
        <v>5</v>
      </c>
      <c r="BS19">
        <v>55</v>
      </c>
      <c r="BU19" s="1">
        <f>AVERAGE(Table9[[#This Row],[1-Jan-21]:[1-Dec-25]])</f>
        <v>7.7333333333333334</v>
      </c>
    </row>
    <row r="20" spans="1:73" x14ac:dyDescent="0.55000000000000004">
      <c r="A20">
        <v>19</v>
      </c>
      <c r="B20" t="s">
        <v>71</v>
      </c>
      <c r="C20" t="s">
        <v>72</v>
      </c>
      <c r="D20" t="s">
        <v>73</v>
      </c>
      <c r="E20" t="s">
        <v>109</v>
      </c>
      <c r="F20">
        <v>109711</v>
      </c>
      <c r="G20" t="s">
        <v>110</v>
      </c>
      <c r="H20" t="s">
        <v>76</v>
      </c>
      <c r="I20" t="s">
        <v>80</v>
      </c>
      <c r="J20">
        <v>9797.3799999999992</v>
      </c>
      <c r="K20">
        <v>4</v>
      </c>
      <c r="L20">
        <v>0</v>
      </c>
      <c r="M20">
        <v>1</v>
      </c>
      <c r="N20">
        <v>2</v>
      </c>
      <c r="O20">
        <v>0</v>
      </c>
      <c r="P20">
        <v>3</v>
      </c>
      <c r="Q20">
        <v>2</v>
      </c>
      <c r="R20">
        <v>4</v>
      </c>
      <c r="S20">
        <v>1</v>
      </c>
      <c r="T20">
        <v>0</v>
      </c>
      <c r="U20">
        <v>2</v>
      </c>
      <c r="V20">
        <v>3</v>
      </c>
      <c r="W20">
        <v>3</v>
      </c>
      <c r="X20">
        <v>3</v>
      </c>
      <c r="Y20">
        <v>2</v>
      </c>
      <c r="Z20">
        <v>2</v>
      </c>
      <c r="AA20">
        <v>1</v>
      </c>
      <c r="AB20">
        <v>4</v>
      </c>
      <c r="AC20">
        <v>1</v>
      </c>
      <c r="AD20">
        <v>0</v>
      </c>
      <c r="AE20">
        <v>1</v>
      </c>
      <c r="AF20">
        <v>2</v>
      </c>
      <c r="AG20">
        <v>0</v>
      </c>
      <c r="AH20">
        <v>3</v>
      </c>
      <c r="AI20">
        <v>0</v>
      </c>
      <c r="AJ20">
        <v>2</v>
      </c>
      <c r="AK20">
        <v>1</v>
      </c>
      <c r="AL20">
        <v>1</v>
      </c>
      <c r="AM20">
        <v>0</v>
      </c>
      <c r="AN20">
        <v>3</v>
      </c>
      <c r="AO20">
        <v>4</v>
      </c>
      <c r="AP20">
        <v>1</v>
      </c>
      <c r="AQ20">
        <v>2</v>
      </c>
      <c r="AR20">
        <v>1</v>
      </c>
      <c r="AS20">
        <v>2</v>
      </c>
      <c r="AT20">
        <v>3</v>
      </c>
      <c r="AU20">
        <v>3</v>
      </c>
      <c r="AV20">
        <v>2</v>
      </c>
      <c r="AW20">
        <v>3</v>
      </c>
      <c r="AX20">
        <v>0</v>
      </c>
      <c r="AY20">
        <v>7</v>
      </c>
      <c r="AZ20">
        <v>2</v>
      </c>
      <c r="BA20">
        <v>0</v>
      </c>
      <c r="BB20">
        <v>1</v>
      </c>
      <c r="BC20">
        <v>0</v>
      </c>
      <c r="BD20">
        <v>2</v>
      </c>
      <c r="BE20">
        <v>1</v>
      </c>
      <c r="BF20">
        <v>0</v>
      </c>
      <c r="BG20">
        <v>2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4</v>
      </c>
      <c r="BN20">
        <v>5</v>
      </c>
      <c r="BO20">
        <v>0</v>
      </c>
      <c r="BP20">
        <v>2</v>
      </c>
      <c r="BQ20">
        <v>1</v>
      </c>
      <c r="BR20">
        <v>1</v>
      </c>
      <c r="BS20">
        <v>47</v>
      </c>
      <c r="BU20" s="1">
        <f>AVERAGE(Table9[[#This Row],[1-Jan-21]:[1-Dec-25]])</f>
        <v>1.7333333333333334</v>
      </c>
    </row>
    <row r="21" spans="1:73" x14ac:dyDescent="0.55000000000000004">
      <c r="A21">
        <v>20</v>
      </c>
      <c r="B21" t="s">
        <v>71</v>
      </c>
      <c r="C21" t="s">
        <v>72</v>
      </c>
      <c r="D21" t="s">
        <v>73</v>
      </c>
      <c r="E21" t="s">
        <v>111</v>
      </c>
      <c r="F21">
        <v>135811</v>
      </c>
      <c r="G21" t="s">
        <v>112</v>
      </c>
      <c r="H21" t="s">
        <v>76</v>
      </c>
      <c r="I21" t="s">
        <v>105</v>
      </c>
      <c r="J21">
        <v>248.94</v>
      </c>
      <c r="K21">
        <v>105</v>
      </c>
      <c r="L21">
        <v>165</v>
      </c>
      <c r="M21">
        <v>191</v>
      </c>
      <c r="N21">
        <v>198</v>
      </c>
      <c r="O21">
        <v>30</v>
      </c>
      <c r="P21">
        <v>93</v>
      </c>
      <c r="Q21">
        <v>55</v>
      </c>
      <c r="R21">
        <v>219</v>
      </c>
      <c r="S21">
        <v>271</v>
      </c>
      <c r="T21">
        <v>388</v>
      </c>
      <c r="U21">
        <v>46</v>
      </c>
      <c r="V21">
        <v>426.2</v>
      </c>
      <c r="W21">
        <v>40</v>
      </c>
      <c r="X21">
        <v>26</v>
      </c>
      <c r="Y21">
        <v>268</v>
      </c>
      <c r="Z21">
        <v>188.5</v>
      </c>
      <c r="AA21">
        <v>384</v>
      </c>
      <c r="AB21">
        <v>330</v>
      </c>
      <c r="AC21">
        <v>236.5</v>
      </c>
      <c r="AD21">
        <v>26.5</v>
      </c>
      <c r="AE21">
        <v>237.5</v>
      </c>
      <c r="AF21">
        <v>307.5</v>
      </c>
      <c r="AG21">
        <v>160</v>
      </c>
      <c r="AH21">
        <v>115.5</v>
      </c>
      <c r="AI21">
        <v>225</v>
      </c>
      <c r="AJ21">
        <v>86</v>
      </c>
      <c r="AK21">
        <v>128.80000000000001</v>
      </c>
      <c r="AL21">
        <v>114</v>
      </c>
      <c r="AM21">
        <v>218</v>
      </c>
      <c r="AN21">
        <v>126</v>
      </c>
      <c r="AO21">
        <v>90</v>
      </c>
      <c r="AP21">
        <v>85.6</v>
      </c>
      <c r="AQ21">
        <v>137.6</v>
      </c>
      <c r="AR21">
        <v>161</v>
      </c>
      <c r="AS21">
        <v>200</v>
      </c>
      <c r="AT21">
        <v>146</v>
      </c>
      <c r="AU21">
        <v>65.099999999999994</v>
      </c>
      <c r="AV21">
        <v>41.6</v>
      </c>
      <c r="AW21">
        <v>175.5</v>
      </c>
      <c r="AX21">
        <v>33</v>
      </c>
      <c r="AY21">
        <v>426</v>
      </c>
      <c r="AZ21">
        <v>157</v>
      </c>
      <c r="BA21">
        <v>143</v>
      </c>
      <c r="BB21">
        <v>282.60000000000002</v>
      </c>
      <c r="BC21">
        <v>279</v>
      </c>
      <c r="BD21">
        <v>153.6</v>
      </c>
      <c r="BE21">
        <v>146.1</v>
      </c>
      <c r="BF21">
        <v>371.8</v>
      </c>
      <c r="BG21">
        <v>271</v>
      </c>
      <c r="BH21">
        <v>126</v>
      </c>
      <c r="BI21">
        <v>54.7</v>
      </c>
      <c r="BJ21">
        <v>58.6</v>
      </c>
      <c r="BK21">
        <v>187</v>
      </c>
      <c r="BL21">
        <v>212</v>
      </c>
      <c r="BM21">
        <v>87</v>
      </c>
      <c r="BN21">
        <v>106</v>
      </c>
      <c r="BO21">
        <v>195</v>
      </c>
      <c r="BP21">
        <v>163.19999999999999</v>
      </c>
      <c r="BQ21">
        <v>18</v>
      </c>
      <c r="BR21">
        <v>247.5</v>
      </c>
      <c r="BS21">
        <v>60</v>
      </c>
      <c r="BU21" s="1">
        <f>AVERAGE(Table9[[#This Row],[1-Jan-21]:[1-Dec-25]])</f>
        <v>170.42500000000007</v>
      </c>
    </row>
    <row r="22" spans="1:73" x14ac:dyDescent="0.55000000000000004">
      <c r="A22">
        <v>21</v>
      </c>
      <c r="B22" t="s">
        <v>71</v>
      </c>
      <c r="C22" t="s">
        <v>72</v>
      </c>
      <c r="D22" t="s">
        <v>73</v>
      </c>
      <c r="E22" t="s">
        <v>111</v>
      </c>
      <c r="F22">
        <v>135809</v>
      </c>
      <c r="G22" t="s">
        <v>113</v>
      </c>
      <c r="H22" t="s">
        <v>76</v>
      </c>
      <c r="I22" t="s">
        <v>105</v>
      </c>
      <c r="J22">
        <v>179.69</v>
      </c>
      <c r="K22">
        <v>61</v>
      </c>
      <c r="L22">
        <v>138.30000000000001</v>
      </c>
      <c r="M22">
        <v>11.5</v>
      </c>
      <c r="N22">
        <v>24</v>
      </c>
      <c r="O22">
        <v>151</v>
      </c>
      <c r="P22">
        <v>120</v>
      </c>
      <c r="Q22">
        <v>130</v>
      </c>
      <c r="R22">
        <v>18</v>
      </c>
      <c r="S22">
        <v>201</v>
      </c>
      <c r="T22">
        <v>138</v>
      </c>
      <c r="U22">
        <v>104.6</v>
      </c>
      <c r="V22">
        <v>85</v>
      </c>
      <c r="W22">
        <v>83.5</v>
      </c>
      <c r="X22">
        <v>147.5</v>
      </c>
      <c r="Y22">
        <v>99</v>
      </c>
      <c r="Z22">
        <v>32</v>
      </c>
      <c r="AA22">
        <v>16</v>
      </c>
      <c r="AB22">
        <v>8</v>
      </c>
      <c r="AC22">
        <v>26</v>
      </c>
      <c r="AD22">
        <v>0</v>
      </c>
      <c r="AE22">
        <v>77.5</v>
      </c>
      <c r="AF22">
        <v>23.4</v>
      </c>
      <c r="AG22">
        <v>13</v>
      </c>
      <c r="AH22">
        <v>103</v>
      </c>
      <c r="AI22">
        <v>20</v>
      </c>
      <c r="AJ22">
        <v>16</v>
      </c>
      <c r="AK22">
        <v>75</v>
      </c>
      <c r="AL22">
        <v>35</v>
      </c>
      <c r="AM22">
        <v>67.5</v>
      </c>
      <c r="AN22">
        <v>11</v>
      </c>
      <c r="AO22">
        <v>47</v>
      </c>
      <c r="AP22">
        <v>36</v>
      </c>
      <c r="AQ22">
        <v>8</v>
      </c>
      <c r="AR22">
        <v>0</v>
      </c>
      <c r="AS22">
        <v>65</v>
      </c>
      <c r="AT22">
        <v>15.6</v>
      </c>
      <c r="AU22">
        <v>19.3</v>
      </c>
      <c r="AV22">
        <v>10</v>
      </c>
      <c r="AW22">
        <v>9</v>
      </c>
      <c r="AX22">
        <v>12</v>
      </c>
      <c r="AY22">
        <v>53</v>
      </c>
      <c r="AZ22">
        <v>68</v>
      </c>
      <c r="BA22">
        <v>13</v>
      </c>
      <c r="BB22">
        <v>24</v>
      </c>
      <c r="BC22">
        <v>19.5</v>
      </c>
      <c r="BD22">
        <v>65</v>
      </c>
      <c r="BE22">
        <v>65</v>
      </c>
      <c r="BF22">
        <v>53.5</v>
      </c>
      <c r="BG22">
        <v>4</v>
      </c>
      <c r="BH22">
        <v>69</v>
      </c>
      <c r="BI22">
        <v>33</v>
      </c>
      <c r="BJ22">
        <v>71</v>
      </c>
      <c r="BK22">
        <v>142</v>
      </c>
      <c r="BL22">
        <v>48</v>
      </c>
      <c r="BM22">
        <v>40</v>
      </c>
      <c r="BN22">
        <v>36</v>
      </c>
      <c r="BO22">
        <v>4</v>
      </c>
      <c r="BP22">
        <v>26</v>
      </c>
      <c r="BQ22">
        <v>49</v>
      </c>
      <c r="BR22">
        <v>23</v>
      </c>
      <c r="BS22">
        <v>58</v>
      </c>
      <c r="BU22" s="1">
        <f>AVERAGE(Table9[[#This Row],[1-Jan-21]:[1-Dec-25]])</f>
        <v>52.728333333333339</v>
      </c>
    </row>
    <row r="23" spans="1:73" x14ac:dyDescent="0.55000000000000004">
      <c r="A23">
        <v>22</v>
      </c>
      <c r="B23" t="s">
        <v>71</v>
      </c>
      <c r="C23" t="s">
        <v>72</v>
      </c>
      <c r="D23" t="s">
        <v>73</v>
      </c>
      <c r="E23" t="s">
        <v>114</v>
      </c>
      <c r="F23">
        <v>109628</v>
      </c>
      <c r="G23" t="s">
        <v>115</v>
      </c>
      <c r="H23" t="s">
        <v>76</v>
      </c>
      <c r="I23" t="s">
        <v>80</v>
      </c>
      <c r="J23">
        <v>32.46</v>
      </c>
      <c r="K23">
        <v>66</v>
      </c>
      <c r="L23">
        <v>142</v>
      </c>
      <c r="M23">
        <v>192</v>
      </c>
      <c r="N23">
        <v>127</v>
      </c>
      <c r="O23">
        <v>230</v>
      </c>
      <c r="P23">
        <v>232</v>
      </c>
      <c r="Q23">
        <v>109</v>
      </c>
      <c r="R23">
        <v>281</v>
      </c>
      <c r="S23">
        <v>189</v>
      </c>
      <c r="T23">
        <v>299</v>
      </c>
      <c r="U23">
        <v>200</v>
      </c>
      <c r="V23">
        <v>144</v>
      </c>
      <c r="W23">
        <v>224</v>
      </c>
      <c r="X23">
        <v>124</v>
      </c>
      <c r="Y23">
        <v>263</v>
      </c>
      <c r="Z23">
        <v>60</v>
      </c>
      <c r="AA23">
        <v>176</v>
      </c>
      <c r="AB23">
        <v>155</v>
      </c>
      <c r="AC23">
        <v>100</v>
      </c>
      <c r="AD23">
        <v>124</v>
      </c>
      <c r="AE23">
        <v>112</v>
      </c>
      <c r="AF23">
        <v>133</v>
      </c>
      <c r="AG23">
        <v>80</v>
      </c>
      <c r="AH23">
        <v>127</v>
      </c>
      <c r="AI23">
        <v>112</v>
      </c>
      <c r="AJ23">
        <v>123</v>
      </c>
      <c r="AK23">
        <v>135</v>
      </c>
      <c r="AL23">
        <v>76</v>
      </c>
      <c r="AM23">
        <v>78</v>
      </c>
      <c r="AN23">
        <v>67</v>
      </c>
      <c r="AO23">
        <v>78</v>
      </c>
      <c r="AP23">
        <v>69</v>
      </c>
      <c r="AQ23">
        <v>136</v>
      </c>
      <c r="AR23">
        <v>38</v>
      </c>
      <c r="AS23">
        <v>103</v>
      </c>
      <c r="AT23">
        <v>82</v>
      </c>
      <c r="AU23">
        <v>112</v>
      </c>
      <c r="AV23">
        <v>104</v>
      </c>
      <c r="AW23">
        <v>146</v>
      </c>
      <c r="AX23">
        <v>25</v>
      </c>
      <c r="AY23">
        <v>95</v>
      </c>
      <c r="AZ23">
        <v>57</v>
      </c>
      <c r="BA23">
        <v>81</v>
      </c>
      <c r="BB23">
        <v>15</v>
      </c>
      <c r="BC23">
        <v>60</v>
      </c>
      <c r="BD23">
        <v>79</v>
      </c>
      <c r="BE23">
        <v>138</v>
      </c>
      <c r="BF23">
        <v>80</v>
      </c>
      <c r="BG23">
        <v>131</v>
      </c>
      <c r="BH23">
        <v>72</v>
      </c>
      <c r="BI23">
        <v>137</v>
      </c>
      <c r="BJ23">
        <v>95</v>
      </c>
      <c r="BK23">
        <v>100</v>
      </c>
      <c r="BL23">
        <v>95</v>
      </c>
      <c r="BM23">
        <v>60</v>
      </c>
      <c r="BN23">
        <v>75</v>
      </c>
      <c r="BO23">
        <v>72</v>
      </c>
      <c r="BP23">
        <v>123</v>
      </c>
      <c r="BQ23">
        <v>83</v>
      </c>
      <c r="BR23">
        <v>60</v>
      </c>
      <c r="BS23">
        <v>60</v>
      </c>
      <c r="BU23" s="1">
        <f>AVERAGE(Table9[[#This Row],[1-Jan-21]:[1-Dec-25]])</f>
        <v>118.01666666666667</v>
      </c>
    </row>
    <row r="24" spans="1:73" x14ac:dyDescent="0.55000000000000004">
      <c r="A24">
        <v>23</v>
      </c>
      <c r="B24" t="s">
        <v>71</v>
      </c>
      <c r="C24" t="s">
        <v>72</v>
      </c>
      <c r="D24" t="s">
        <v>73</v>
      </c>
      <c r="E24" t="s">
        <v>116</v>
      </c>
      <c r="F24">
        <v>110902</v>
      </c>
      <c r="G24" t="s">
        <v>117</v>
      </c>
      <c r="H24" t="s">
        <v>76</v>
      </c>
      <c r="I24" t="s">
        <v>80</v>
      </c>
      <c r="J24">
        <v>11.5</v>
      </c>
      <c r="K24">
        <v>37</v>
      </c>
      <c r="L24">
        <v>22</v>
      </c>
      <c r="M24">
        <v>48</v>
      </c>
      <c r="N24">
        <v>31</v>
      </c>
      <c r="O24">
        <v>76</v>
      </c>
      <c r="P24">
        <v>91</v>
      </c>
      <c r="Q24">
        <v>27</v>
      </c>
      <c r="R24">
        <v>91</v>
      </c>
      <c r="S24">
        <v>99</v>
      </c>
      <c r="T24">
        <v>43</v>
      </c>
      <c r="U24">
        <v>88</v>
      </c>
      <c r="V24">
        <v>51</v>
      </c>
      <c r="W24">
        <v>20</v>
      </c>
      <c r="X24">
        <v>67</v>
      </c>
      <c r="Y24">
        <v>7</v>
      </c>
      <c r="Z24">
        <v>60</v>
      </c>
      <c r="AA24">
        <v>33</v>
      </c>
      <c r="AB24">
        <v>97</v>
      </c>
      <c r="AC24">
        <v>15</v>
      </c>
      <c r="AD24">
        <v>30</v>
      </c>
      <c r="AE24">
        <v>19</v>
      </c>
      <c r="AF24">
        <v>48</v>
      </c>
      <c r="AG24">
        <v>17</v>
      </c>
      <c r="AH24">
        <v>37</v>
      </c>
      <c r="AI24">
        <v>53</v>
      </c>
      <c r="AJ24">
        <v>45</v>
      </c>
      <c r="AK24">
        <v>31</v>
      </c>
      <c r="AL24">
        <v>23</v>
      </c>
      <c r="AM24">
        <v>42</v>
      </c>
      <c r="AN24">
        <v>12</v>
      </c>
      <c r="AO24">
        <v>53</v>
      </c>
      <c r="AP24">
        <v>9</v>
      </c>
      <c r="AQ24">
        <v>29</v>
      </c>
      <c r="AR24">
        <v>15</v>
      </c>
      <c r="AS24">
        <v>20</v>
      </c>
      <c r="AT24">
        <v>31</v>
      </c>
      <c r="AU24">
        <v>38</v>
      </c>
      <c r="AV24">
        <v>28</v>
      </c>
      <c r="AW24">
        <v>74</v>
      </c>
      <c r="AX24">
        <v>78</v>
      </c>
      <c r="AY24">
        <v>59</v>
      </c>
      <c r="AZ24">
        <v>50</v>
      </c>
      <c r="BA24">
        <v>58</v>
      </c>
      <c r="BB24">
        <v>116</v>
      </c>
      <c r="BC24">
        <v>64</v>
      </c>
      <c r="BD24">
        <v>27</v>
      </c>
      <c r="BE24">
        <v>52</v>
      </c>
      <c r="BF24">
        <v>24</v>
      </c>
      <c r="BG24">
        <v>14</v>
      </c>
      <c r="BH24">
        <v>68</v>
      </c>
      <c r="BI24">
        <v>38</v>
      </c>
      <c r="BJ24">
        <v>61</v>
      </c>
      <c r="BK24">
        <v>36</v>
      </c>
      <c r="BL24">
        <v>31</v>
      </c>
      <c r="BM24">
        <v>81</v>
      </c>
      <c r="BN24">
        <v>32</v>
      </c>
      <c r="BO24">
        <v>38</v>
      </c>
      <c r="BP24">
        <v>38</v>
      </c>
      <c r="BQ24">
        <v>12</v>
      </c>
      <c r="BR24">
        <v>18</v>
      </c>
      <c r="BS24">
        <v>60</v>
      </c>
      <c r="BU24" s="1">
        <f>AVERAGE(Table9[[#This Row],[1-Jan-21]:[1-Dec-25]])</f>
        <v>44.2</v>
      </c>
    </row>
    <row r="25" spans="1:73" x14ac:dyDescent="0.55000000000000004">
      <c r="A25">
        <v>24</v>
      </c>
      <c r="B25" t="s">
        <v>71</v>
      </c>
      <c r="C25" t="s">
        <v>72</v>
      </c>
      <c r="D25" t="s">
        <v>73</v>
      </c>
      <c r="E25" t="s">
        <v>114</v>
      </c>
      <c r="F25">
        <v>109625</v>
      </c>
      <c r="G25" t="s">
        <v>118</v>
      </c>
      <c r="H25" t="s">
        <v>76</v>
      </c>
      <c r="I25" t="s">
        <v>80</v>
      </c>
      <c r="J25">
        <v>18.82</v>
      </c>
      <c r="K25">
        <v>9</v>
      </c>
      <c r="L25">
        <v>0</v>
      </c>
      <c r="M25">
        <v>8</v>
      </c>
      <c r="N25">
        <v>0</v>
      </c>
      <c r="O25">
        <v>0</v>
      </c>
      <c r="P25">
        <v>0</v>
      </c>
      <c r="Q25">
        <v>6</v>
      </c>
      <c r="R25">
        <v>16</v>
      </c>
      <c r="S25">
        <v>7</v>
      </c>
      <c r="T25">
        <v>3</v>
      </c>
      <c r="U25">
        <v>0</v>
      </c>
      <c r="V25">
        <v>6</v>
      </c>
      <c r="W25">
        <v>12</v>
      </c>
      <c r="X25">
        <v>0</v>
      </c>
      <c r="Y25">
        <v>10</v>
      </c>
      <c r="Z25">
        <v>10</v>
      </c>
      <c r="AA25">
        <v>8</v>
      </c>
      <c r="AB25">
        <v>10</v>
      </c>
      <c r="AC25">
        <v>2</v>
      </c>
      <c r="AD25">
        <v>0</v>
      </c>
      <c r="AE25">
        <v>5</v>
      </c>
      <c r="AF25">
        <v>12</v>
      </c>
      <c r="AG25">
        <v>15</v>
      </c>
      <c r="AH25">
        <v>4</v>
      </c>
      <c r="AI25">
        <v>27</v>
      </c>
      <c r="AJ25">
        <v>10</v>
      </c>
      <c r="AK25">
        <v>0</v>
      </c>
      <c r="AL25">
        <v>12</v>
      </c>
      <c r="AM25">
        <v>8</v>
      </c>
      <c r="AN25">
        <v>2</v>
      </c>
      <c r="AO25">
        <v>48</v>
      </c>
      <c r="AP25">
        <v>0</v>
      </c>
      <c r="AQ25">
        <v>0</v>
      </c>
      <c r="AR25">
        <v>0</v>
      </c>
      <c r="AS25">
        <v>5</v>
      </c>
      <c r="AT25">
        <v>0</v>
      </c>
      <c r="AU25">
        <v>0</v>
      </c>
      <c r="AV25">
        <v>4</v>
      </c>
      <c r="AW25">
        <v>2</v>
      </c>
      <c r="AX25">
        <v>5</v>
      </c>
      <c r="AY25">
        <v>13</v>
      </c>
      <c r="AZ25">
        <v>20</v>
      </c>
      <c r="BA25">
        <v>25</v>
      </c>
      <c r="BB25">
        <v>0</v>
      </c>
      <c r="BC25">
        <v>40</v>
      </c>
      <c r="BD25">
        <v>5</v>
      </c>
      <c r="BE25">
        <v>5</v>
      </c>
      <c r="BF25">
        <v>40</v>
      </c>
      <c r="BG25">
        <v>0</v>
      </c>
      <c r="BH25">
        <v>15</v>
      </c>
      <c r="BI25">
        <v>21</v>
      </c>
      <c r="BJ25">
        <v>5</v>
      </c>
      <c r="BK25">
        <v>0</v>
      </c>
      <c r="BL25">
        <v>2</v>
      </c>
      <c r="BM25">
        <v>9</v>
      </c>
      <c r="BN25">
        <v>6</v>
      </c>
      <c r="BO25">
        <v>0</v>
      </c>
      <c r="BP25">
        <v>13</v>
      </c>
      <c r="BQ25">
        <v>6</v>
      </c>
      <c r="BR25">
        <v>0</v>
      </c>
      <c r="BS25">
        <v>42</v>
      </c>
      <c r="BU25" s="1">
        <f>AVERAGE(Table9[[#This Row],[1-Jan-21]:[1-Dec-25]])</f>
        <v>8.1833333333333336</v>
      </c>
    </row>
    <row r="26" spans="1:73" x14ac:dyDescent="0.55000000000000004">
      <c r="A26">
        <v>25</v>
      </c>
      <c r="B26" t="s">
        <v>71</v>
      </c>
      <c r="C26" t="s">
        <v>72</v>
      </c>
      <c r="D26" t="s">
        <v>73</v>
      </c>
      <c r="E26" t="s">
        <v>114</v>
      </c>
      <c r="F26">
        <v>116867</v>
      </c>
      <c r="G26" t="s">
        <v>119</v>
      </c>
      <c r="H26" t="s">
        <v>76</v>
      </c>
      <c r="I26" t="s">
        <v>80</v>
      </c>
      <c r="J26">
        <v>50.19</v>
      </c>
      <c r="K26">
        <v>1</v>
      </c>
      <c r="L26">
        <v>2</v>
      </c>
      <c r="M26">
        <v>0</v>
      </c>
      <c r="N26">
        <v>5</v>
      </c>
      <c r="O26">
        <v>0</v>
      </c>
      <c r="P26">
        <v>38</v>
      </c>
      <c r="Q26">
        <v>11</v>
      </c>
      <c r="R26">
        <v>0</v>
      </c>
      <c r="S26">
        <v>4</v>
      </c>
      <c r="T26">
        <v>0</v>
      </c>
      <c r="U26">
        <v>0</v>
      </c>
      <c r="V26">
        <v>0</v>
      </c>
      <c r="W26">
        <v>4</v>
      </c>
      <c r="X26">
        <v>3</v>
      </c>
      <c r="Y26">
        <v>2</v>
      </c>
      <c r="Z26">
        <v>19</v>
      </c>
      <c r="AA26">
        <v>0</v>
      </c>
      <c r="AB26">
        <v>0</v>
      </c>
      <c r="AC26">
        <v>0</v>
      </c>
      <c r="AD26">
        <v>0</v>
      </c>
      <c r="AE26">
        <v>16</v>
      </c>
      <c r="AF26">
        <v>0</v>
      </c>
      <c r="AG26">
        <v>11</v>
      </c>
      <c r="AH26">
        <v>3</v>
      </c>
      <c r="AI26">
        <v>2</v>
      </c>
      <c r="AJ26">
        <v>5</v>
      </c>
      <c r="AK26">
        <v>6</v>
      </c>
      <c r="AL26">
        <v>2</v>
      </c>
      <c r="AM26">
        <v>2</v>
      </c>
      <c r="AN26">
        <v>0</v>
      </c>
      <c r="AO26">
        <v>6</v>
      </c>
      <c r="AP26">
        <v>0</v>
      </c>
      <c r="AQ26">
        <v>9</v>
      </c>
      <c r="AR26">
        <v>1</v>
      </c>
      <c r="AS26">
        <v>12</v>
      </c>
      <c r="AT26">
        <v>2</v>
      </c>
      <c r="AU26">
        <v>1</v>
      </c>
      <c r="AV26">
        <v>16</v>
      </c>
      <c r="AW26">
        <v>0</v>
      </c>
      <c r="AX26">
        <v>1</v>
      </c>
      <c r="AY26">
        <v>33</v>
      </c>
      <c r="AZ26">
        <v>0</v>
      </c>
      <c r="BA26">
        <v>8</v>
      </c>
      <c r="BB26">
        <v>12</v>
      </c>
      <c r="BC26">
        <v>21</v>
      </c>
      <c r="BD26">
        <v>37</v>
      </c>
      <c r="BE26">
        <v>4</v>
      </c>
      <c r="BF26">
        <v>8</v>
      </c>
      <c r="BG26">
        <v>15</v>
      </c>
      <c r="BH26">
        <v>28</v>
      </c>
      <c r="BI26">
        <v>60</v>
      </c>
      <c r="BJ26">
        <v>0</v>
      </c>
      <c r="BK26">
        <v>16</v>
      </c>
      <c r="BL26">
        <v>0</v>
      </c>
      <c r="BM26">
        <v>54</v>
      </c>
      <c r="BN26">
        <v>0</v>
      </c>
      <c r="BO26">
        <v>50</v>
      </c>
      <c r="BP26">
        <v>0</v>
      </c>
      <c r="BQ26">
        <v>2</v>
      </c>
      <c r="BR26">
        <v>0</v>
      </c>
      <c r="BS26">
        <v>40</v>
      </c>
      <c r="BU26" s="1">
        <f>AVERAGE(Table9[[#This Row],[1-Jan-21]:[1-Dec-25]])</f>
        <v>8.8666666666666671</v>
      </c>
    </row>
    <row r="27" spans="1:73" x14ac:dyDescent="0.55000000000000004">
      <c r="A27">
        <v>26</v>
      </c>
      <c r="B27" t="s">
        <v>71</v>
      </c>
      <c r="C27" t="s">
        <v>72</v>
      </c>
      <c r="D27" t="s">
        <v>73</v>
      </c>
      <c r="E27" t="s">
        <v>87</v>
      </c>
      <c r="F27">
        <v>107604</v>
      </c>
      <c r="G27" t="s">
        <v>120</v>
      </c>
      <c r="H27" t="s">
        <v>76</v>
      </c>
      <c r="I27" t="s">
        <v>80</v>
      </c>
      <c r="J27">
        <v>4.63</v>
      </c>
      <c r="K27">
        <v>20</v>
      </c>
      <c r="L27">
        <v>10</v>
      </c>
      <c r="M27">
        <v>20</v>
      </c>
      <c r="N27">
        <v>0</v>
      </c>
      <c r="O27">
        <v>5</v>
      </c>
      <c r="P27">
        <v>50</v>
      </c>
      <c r="Q27">
        <v>0</v>
      </c>
      <c r="R27">
        <v>10</v>
      </c>
      <c r="S27">
        <v>5</v>
      </c>
      <c r="T27">
        <v>115</v>
      </c>
      <c r="U27">
        <v>10</v>
      </c>
      <c r="V27">
        <v>38</v>
      </c>
      <c r="W27">
        <v>15</v>
      </c>
      <c r="X27">
        <v>40</v>
      </c>
      <c r="Y27">
        <v>0</v>
      </c>
      <c r="Z27">
        <v>30</v>
      </c>
      <c r="AA27">
        <v>7</v>
      </c>
      <c r="AB27">
        <v>20</v>
      </c>
      <c r="AC27">
        <v>34</v>
      </c>
      <c r="AD27">
        <v>0</v>
      </c>
      <c r="AE27">
        <v>0</v>
      </c>
      <c r="AF27">
        <v>0</v>
      </c>
      <c r="AG27">
        <v>0</v>
      </c>
      <c r="AH27">
        <v>52</v>
      </c>
      <c r="AI27">
        <v>0</v>
      </c>
      <c r="AJ27">
        <v>10</v>
      </c>
      <c r="AK27">
        <v>20</v>
      </c>
      <c r="AL27">
        <v>0</v>
      </c>
      <c r="AM27">
        <v>0</v>
      </c>
      <c r="AN27">
        <v>6</v>
      </c>
      <c r="AO27">
        <v>0</v>
      </c>
      <c r="AP27">
        <v>2</v>
      </c>
      <c r="AQ27">
        <v>15</v>
      </c>
      <c r="AR27">
        <v>10</v>
      </c>
      <c r="AS27">
        <v>0</v>
      </c>
      <c r="AT27">
        <v>10</v>
      </c>
      <c r="AU27">
        <v>0</v>
      </c>
      <c r="AV27">
        <v>10</v>
      </c>
      <c r="AW27">
        <v>10</v>
      </c>
      <c r="AX27">
        <v>41</v>
      </c>
      <c r="AY27">
        <v>45</v>
      </c>
      <c r="AZ27">
        <v>0</v>
      </c>
      <c r="BA27">
        <v>20</v>
      </c>
      <c r="BB27">
        <v>0</v>
      </c>
      <c r="BC27">
        <v>0</v>
      </c>
      <c r="BD27">
        <v>0</v>
      </c>
      <c r="BE27">
        <v>40</v>
      </c>
      <c r="BF27">
        <v>50</v>
      </c>
      <c r="BG27">
        <v>0</v>
      </c>
      <c r="BH27">
        <v>0</v>
      </c>
      <c r="BI27">
        <v>55</v>
      </c>
      <c r="BJ27">
        <v>15</v>
      </c>
      <c r="BK27">
        <v>30</v>
      </c>
      <c r="BL27">
        <v>50</v>
      </c>
      <c r="BM27">
        <v>20</v>
      </c>
      <c r="BN27">
        <v>2</v>
      </c>
      <c r="BO27">
        <v>35</v>
      </c>
      <c r="BP27">
        <v>4</v>
      </c>
      <c r="BQ27">
        <v>24</v>
      </c>
      <c r="BR27">
        <v>0</v>
      </c>
      <c r="BS27">
        <v>40</v>
      </c>
      <c r="BU27" s="1">
        <f>AVERAGE(Table9[[#This Row],[1-Jan-21]:[1-Dec-25]])</f>
        <v>16.75</v>
      </c>
    </row>
    <row r="28" spans="1:73" x14ac:dyDescent="0.55000000000000004">
      <c r="A28">
        <v>27</v>
      </c>
      <c r="B28" t="s">
        <v>71</v>
      </c>
      <c r="C28" t="s">
        <v>121</v>
      </c>
      <c r="D28" t="s">
        <v>122</v>
      </c>
      <c r="E28" t="s">
        <v>123</v>
      </c>
      <c r="F28">
        <v>125604</v>
      </c>
      <c r="G28" t="s">
        <v>124</v>
      </c>
      <c r="H28" t="s">
        <v>76</v>
      </c>
      <c r="I28" t="s">
        <v>125</v>
      </c>
      <c r="J28">
        <v>46.69</v>
      </c>
      <c r="K28">
        <v>5009</v>
      </c>
      <c r="L28">
        <v>1819</v>
      </c>
      <c r="M28">
        <v>4833</v>
      </c>
      <c r="N28">
        <v>3881</v>
      </c>
      <c r="O28">
        <v>4198</v>
      </c>
      <c r="P28">
        <v>4946</v>
      </c>
      <c r="Q28">
        <v>4422</v>
      </c>
      <c r="R28">
        <v>3953</v>
      </c>
      <c r="S28">
        <v>3666</v>
      </c>
      <c r="T28">
        <v>3509</v>
      </c>
      <c r="U28">
        <v>1989</v>
      </c>
      <c r="V28">
        <v>1728</v>
      </c>
      <c r="W28">
        <v>7190.84</v>
      </c>
      <c r="X28">
        <v>8478.5</v>
      </c>
      <c r="Y28">
        <v>1880.5</v>
      </c>
      <c r="Z28">
        <v>8719</v>
      </c>
      <c r="AA28">
        <v>1758</v>
      </c>
      <c r="AB28">
        <v>7681</v>
      </c>
      <c r="AC28">
        <v>2045</v>
      </c>
      <c r="AD28">
        <v>590</v>
      </c>
      <c r="AE28">
        <v>3817</v>
      </c>
      <c r="AF28">
        <v>2363</v>
      </c>
      <c r="AG28">
        <v>5475</v>
      </c>
      <c r="AH28">
        <v>2362</v>
      </c>
      <c r="AI28">
        <v>17200</v>
      </c>
      <c r="AJ28">
        <v>537.5</v>
      </c>
      <c r="AK28">
        <v>15434</v>
      </c>
      <c r="AL28">
        <v>18920</v>
      </c>
      <c r="AM28">
        <v>431</v>
      </c>
      <c r="AN28">
        <v>324</v>
      </c>
      <c r="AO28">
        <v>3453.5</v>
      </c>
      <c r="AP28">
        <v>6862</v>
      </c>
      <c r="AQ28">
        <v>1854</v>
      </c>
      <c r="AR28">
        <v>326</v>
      </c>
      <c r="AS28">
        <v>982</v>
      </c>
      <c r="AT28">
        <v>108</v>
      </c>
      <c r="AU28">
        <v>1513</v>
      </c>
      <c r="AV28">
        <v>540</v>
      </c>
      <c r="AW28">
        <v>3967</v>
      </c>
      <c r="AX28">
        <v>4588</v>
      </c>
      <c r="AY28">
        <v>5171</v>
      </c>
      <c r="AZ28">
        <v>2795</v>
      </c>
      <c r="BA28">
        <v>4155</v>
      </c>
      <c r="BB28">
        <v>8304</v>
      </c>
      <c r="BC28">
        <v>3779</v>
      </c>
      <c r="BD28">
        <v>3721</v>
      </c>
      <c r="BE28">
        <v>1306</v>
      </c>
      <c r="BF28">
        <v>1734</v>
      </c>
      <c r="BG28">
        <v>1945</v>
      </c>
      <c r="BH28">
        <v>4741</v>
      </c>
      <c r="BI28">
        <v>1264</v>
      </c>
      <c r="BJ28">
        <v>539</v>
      </c>
      <c r="BK28">
        <v>1078</v>
      </c>
      <c r="BL28">
        <v>542</v>
      </c>
      <c r="BM28">
        <v>1082</v>
      </c>
      <c r="BN28">
        <v>1620</v>
      </c>
      <c r="BO28">
        <v>2168</v>
      </c>
      <c r="BP28">
        <v>323</v>
      </c>
      <c r="BQ28">
        <v>1608</v>
      </c>
      <c r="BR28">
        <v>110</v>
      </c>
      <c r="BS28">
        <v>60</v>
      </c>
      <c r="BU28" s="1">
        <f>AVERAGE(Table9[[#This Row],[1-Jan-21]:[1-Dec-25]])</f>
        <v>3688.9639999999999</v>
      </c>
    </row>
    <row r="29" spans="1:73" x14ac:dyDescent="0.55000000000000004">
      <c r="A29">
        <v>28</v>
      </c>
      <c r="B29" t="s">
        <v>71</v>
      </c>
      <c r="C29" t="s">
        <v>72</v>
      </c>
      <c r="D29" t="s">
        <v>73</v>
      </c>
      <c r="E29" t="s">
        <v>87</v>
      </c>
      <c r="F29">
        <v>159379</v>
      </c>
      <c r="G29" t="s">
        <v>126</v>
      </c>
      <c r="H29" t="s">
        <v>76</v>
      </c>
      <c r="I29" t="s">
        <v>80</v>
      </c>
      <c r="J29">
        <v>13.32</v>
      </c>
      <c r="K29">
        <v>115</v>
      </c>
      <c r="L29">
        <v>50</v>
      </c>
      <c r="M29">
        <v>156</v>
      </c>
      <c r="N29">
        <v>140</v>
      </c>
      <c r="O29">
        <v>0</v>
      </c>
      <c r="P29">
        <v>40</v>
      </c>
      <c r="Q29">
        <v>0</v>
      </c>
      <c r="R29">
        <v>105</v>
      </c>
      <c r="S29">
        <v>0</v>
      </c>
      <c r="T29">
        <v>40</v>
      </c>
      <c r="U29">
        <v>20</v>
      </c>
      <c r="V29">
        <v>70</v>
      </c>
      <c r="W29">
        <v>50</v>
      </c>
      <c r="X29">
        <v>50</v>
      </c>
      <c r="Y29">
        <v>48</v>
      </c>
      <c r="Z29">
        <v>90</v>
      </c>
      <c r="AA29">
        <v>50</v>
      </c>
      <c r="AB29">
        <v>50</v>
      </c>
      <c r="AC29">
        <v>65</v>
      </c>
      <c r="AD29">
        <v>0</v>
      </c>
      <c r="AE29">
        <v>55</v>
      </c>
      <c r="AF29">
        <v>35</v>
      </c>
      <c r="AG29">
        <v>0</v>
      </c>
      <c r="AH29">
        <v>63</v>
      </c>
      <c r="AI29">
        <v>55</v>
      </c>
      <c r="AJ29">
        <v>45</v>
      </c>
      <c r="AK29">
        <v>8</v>
      </c>
      <c r="AL29">
        <v>70</v>
      </c>
      <c r="AM29">
        <v>58</v>
      </c>
      <c r="AN29">
        <v>40</v>
      </c>
      <c r="AO29">
        <v>40</v>
      </c>
      <c r="AP29">
        <v>110</v>
      </c>
      <c r="AQ29">
        <v>20</v>
      </c>
      <c r="AR29">
        <v>80</v>
      </c>
      <c r="AS29">
        <v>16</v>
      </c>
      <c r="AT29">
        <v>125</v>
      </c>
      <c r="AU29">
        <v>65</v>
      </c>
      <c r="AV29">
        <v>32</v>
      </c>
      <c r="AW29">
        <v>46</v>
      </c>
      <c r="AX29">
        <v>45</v>
      </c>
      <c r="AY29">
        <v>23</v>
      </c>
      <c r="AZ29">
        <v>10</v>
      </c>
      <c r="BA29">
        <v>99</v>
      </c>
      <c r="BB29">
        <v>10</v>
      </c>
      <c r="BC29">
        <v>170</v>
      </c>
      <c r="BD29">
        <v>140</v>
      </c>
      <c r="BE29">
        <v>50</v>
      </c>
      <c r="BF29">
        <v>80</v>
      </c>
      <c r="BG29">
        <v>50</v>
      </c>
      <c r="BH29">
        <v>50</v>
      </c>
      <c r="BI29">
        <v>25</v>
      </c>
      <c r="BJ29">
        <v>108</v>
      </c>
      <c r="BK29">
        <v>50</v>
      </c>
      <c r="BL29">
        <v>110</v>
      </c>
      <c r="BM29">
        <v>120</v>
      </c>
      <c r="BN29">
        <v>130</v>
      </c>
      <c r="BO29">
        <v>295</v>
      </c>
      <c r="BP29">
        <v>0</v>
      </c>
      <c r="BQ29">
        <v>40</v>
      </c>
      <c r="BR29">
        <v>98</v>
      </c>
      <c r="BS29">
        <v>54</v>
      </c>
      <c r="BU29" s="1">
        <f>AVERAGE(Table9[[#This Row],[1-Jan-21]:[1-Dec-25]])</f>
        <v>63.416666666666664</v>
      </c>
    </row>
    <row r="30" spans="1:73" x14ac:dyDescent="0.55000000000000004">
      <c r="A30">
        <v>29</v>
      </c>
      <c r="B30" t="s">
        <v>71</v>
      </c>
      <c r="C30" t="s">
        <v>72</v>
      </c>
      <c r="D30" t="s">
        <v>73</v>
      </c>
      <c r="E30" t="s">
        <v>116</v>
      </c>
      <c r="F30">
        <v>110904</v>
      </c>
      <c r="G30" t="s">
        <v>127</v>
      </c>
      <c r="H30" t="s">
        <v>76</v>
      </c>
      <c r="I30" t="s">
        <v>80</v>
      </c>
      <c r="J30">
        <v>12.55</v>
      </c>
      <c r="K30">
        <v>21</v>
      </c>
      <c r="L30">
        <v>35</v>
      </c>
      <c r="M30">
        <v>19</v>
      </c>
      <c r="N30">
        <v>13</v>
      </c>
      <c r="O30">
        <v>11</v>
      </c>
      <c r="P30">
        <v>29</v>
      </c>
      <c r="Q30">
        <v>10</v>
      </c>
      <c r="R30">
        <v>62</v>
      </c>
      <c r="S30">
        <v>75</v>
      </c>
      <c r="T30">
        <v>44</v>
      </c>
      <c r="U30">
        <v>37</v>
      </c>
      <c r="V30">
        <v>30</v>
      </c>
      <c r="W30">
        <v>37</v>
      </c>
      <c r="X30">
        <v>28</v>
      </c>
      <c r="Y30">
        <v>28</v>
      </c>
      <c r="Z30">
        <v>25</v>
      </c>
      <c r="AA30">
        <v>7</v>
      </c>
      <c r="AB30">
        <v>35</v>
      </c>
      <c r="AC30">
        <v>0</v>
      </c>
      <c r="AD30">
        <v>10</v>
      </c>
      <c r="AE30">
        <v>4</v>
      </c>
      <c r="AF30">
        <v>0</v>
      </c>
      <c r="AG30">
        <v>30</v>
      </c>
      <c r="AH30">
        <v>25</v>
      </c>
      <c r="AI30">
        <v>19</v>
      </c>
      <c r="AJ30">
        <v>19</v>
      </c>
      <c r="AK30">
        <v>3</v>
      </c>
      <c r="AL30">
        <v>5</v>
      </c>
      <c r="AM30">
        <v>10</v>
      </c>
      <c r="AN30">
        <v>16</v>
      </c>
      <c r="AO30">
        <v>23</v>
      </c>
      <c r="AP30">
        <v>21</v>
      </c>
      <c r="AQ30">
        <v>12</v>
      </c>
      <c r="AR30">
        <v>5</v>
      </c>
      <c r="AS30">
        <v>28</v>
      </c>
      <c r="AT30">
        <v>0</v>
      </c>
      <c r="AU30">
        <v>16</v>
      </c>
      <c r="AV30">
        <v>0</v>
      </c>
      <c r="AW30">
        <v>10</v>
      </c>
      <c r="AX30">
        <v>24</v>
      </c>
      <c r="AY30">
        <v>6</v>
      </c>
      <c r="AZ30">
        <v>24</v>
      </c>
      <c r="BA30">
        <v>17</v>
      </c>
      <c r="BB30">
        <v>12</v>
      </c>
      <c r="BC30">
        <v>9</v>
      </c>
      <c r="BD30">
        <v>11</v>
      </c>
      <c r="BE30">
        <v>22</v>
      </c>
      <c r="BF30">
        <v>22</v>
      </c>
      <c r="BG30">
        <v>4</v>
      </c>
      <c r="BH30">
        <v>28</v>
      </c>
      <c r="BI30">
        <v>21</v>
      </c>
      <c r="BJ30">
        <v>33</v>
      </c>
      <c r="BK30">
        <v>34</v>
      </c>
      <c r="BL30">
        <v>10</v>
      </c>
      <c r="BM30">
        <v>0</v>
      </c>
      <c r="BN30">
        <v>14</v>
      </c>
      <c r="BO30">
        <v>25</v>
      </c>
      <c r="BP30">
        <v>40</v>
      </c>
      <c r="BQ30">
        <v>4</v>
      </c>
      <c r="BR30">
        <v>10</v>
      </c>
      <c r="BS30">
        <v>55</v>
      </c>
      <c r="BU30" s="1">
        <f>AVERAGE(Table9[[#This Row],[1-Jan-21]:[1-Dec-25]])</f>
        <v>19.533333333333335</v>
      </c>
    </row>
    <row r="31" spans="1:73" x14ac:dyDescent="0.55000000000000004">
      <c r="A31">
        <v>30</v>
      </c>
      <c r="B31" t="s">
        <v>71</v>
      </c>
      <c r="C31" t="s">
        <v>72</v>
      </c>
      <c r="D31" t="s">
        <v>73</v>
      </c>
      <c r="E31" t="s">
        <v>103</v>
      </c>
      <c r="F31">
        <v>117898</v>
      </c>
      <c r="G31" t="s">
        <v>128</v>
      </c>
      <c r="H31" t="s">
        <v>76</v>
      </c>
      <c r="I31" t="s">
        <v>105</v>
      </c>
      <c r="J31">
        <v>370.52</v>
      </c>
      <c r="K31">
        <v>16</v>
      </c>
      <c r="L31">
        <v>0</v>
      </c>
      <c r="M31">
        <v>20</v>
      </c>
      <c r="N31">
        <v>10</v>
      </c>
      <c r="O31">
        <v>20</v>
      </c>
      <c r="P31">
        <v>50</v>
      </c>
      <c r="Q31">
        <v>0</v>
      </c>
      <c r="R31">
        <v>50</v>
      </c>
      <c r="S31">
        <v>15</v>
      </c>
      <c r="T31">
        <v>65</v>
      </c>
      <c r="U31">
        <v>0</v>
      </c>
      <c r="V31">
        <v>10</v>
      </c>
      <c r="W31">
        <v>0</v>
      </c>
      <c r="X31">
        <v>10</v>
      </c>
      <c r="Y31">
        <v>0</v>
      </c>
      <c r="Z31">
        <v>20</v>
      </c>
      <c r="AA31">
        <v>0</v>
      </c>
      <c r="AB31">
        <v>0</v>
      </c>
      <c r="AC31">
        <v>0</v>
      </c>
      <c r="AD31">
        <v>0</v>
      </c>
      <c r="AE31">
        <v>30</v>
      </c>
      <c r="AF31">
        <v>0</v>
      </c>
      <c r="AG31">
        <v>30</v>
      </c>
      <c r="AH31">
        <v>5</v>
      </c>
      <c r="AI31">
        <v>8</v>
      </c>
      <c r="AJ31">
        <v>37</v>
      </c>
      <c r="AK31">
        <v>8</v>
      </c>
      <c r="AL31">
        <v>10</v>
      </c>
      <c r="AM31">
        <v>8</v>
      </c>
      <c r="AN31">
        <v>65</v>
      </c>
      <c r="AO31">
        <v>46</v>
      </c>
      <c r="AP31">
        <v>78</v>
      </c>
      <c r="AQ31">
        <v>52</v>
      </c>
      <c r="AR31">
        <v>24</v>
      </c>
      <c r="AS31">
        <v>5</v>
      </c>
      <c r="AT31">
        <v>34</v>
      </c>
      <c r="AU31">
        <v>15</v>
      </c>
      <c r="AV31">
        <v>22</v>
      </c>
      <c r="AW31">
        <v>23</v>
      </c>
      <c r="AX31">
        <v>80</v>
      </c>
      <c r="AY31">
        <v>150</v>
      </c>
      <c r="AZ31">
        <v>61</v>
      </c>
      <c r="BA31">
        <v>79</v>
      </c>
      <c r="BB31">
        <v>140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9</v>
      </c>
      <c r="BJ31">
        <v>50</v>
      </c>
      <c r="BK31">
        <v>26</v>
      </c>
      <c r="BL31">
        <v>12</v>
      </c>
      <c r="BM31">
        <v>93</v>
      </c>
      <c r="BN31">
        <v>96</v>
      </c>
      <c r="BO31">
        <v>41</v>
      </c>
      <c r="BP31">
        <v>18</v>
      </c>
      <c r="BQ31">
        <v>15</v>
      </c>
      <c r="BR31">
        <v>16</v>
      </c>
      <c r="BS31">
        <v>44</v>
      </c>
      <c r="BU31" s="1">
        <f>AVERAGE(Table9[[#This Row],[1-Jan-21]:[1-Dec-25]])</f>
        <v>27.866666666666667</v>
      </c>
    </row>
    <row r="32" spans="1:73" x14ac:dyDescent="0.55000000000000004">
      <c r="A32">
        <v>31</v>
      </c>
      <c r="B32" t="s">
        <v>71</v>
      </c>
      <c r="C32" t="s">
        <v>72</v>
      </c>
      <c r="D32" t="s">
        <v>73</v>
      </c>
      <c r="E32" t="s">
        <v>83</v>
      </c>
      <c r="F32">
        <v>108754</v>
      </c>
      <c r="G32" t="s">
        <v>129</v>
      </c>
      <c r="H32" t="s">
        <v>76</v>
      </c>
      <c r="I32" t="s">
        <v>77</v>
      </c>
      <c r="J32">
        <v>398.57</v>
      </c>
      <c r="K32">
        <v>34</v>
      </c>
      <c r="L32">
        <v>50</v>
      </c>
      <c r="M32">
        <v>18</v>
      </c>
      <c r="N32">
        <v>43</v>
      </c>
      <c r="O32">
        <v>74</v>
      </c>
      <c r="P32">
        <v>49</v>
      </c>
      <c r="Q32">
        <v>0</v>
      </c>
      <c r="R32">
        <v>10.5</v>
      </c>
      <c r="S32">
        <v>55.6</v>
      </c>
      <c r="T32">
        <v>53.3</v>
      </c>
      <c r="U32">
        <v>96</v>
      </c>
      <c r="V32">
        <v>30.2</v>
      </c>
      <c r="W32">
        <v>5</v>
      </c>
      <c r="X32">
        <v>46</v>
      </c>
      <c r="Y32">
        <v>23</v>
      </c>
      <c r="Z32">
        <v>96.5</v>
      </c>
      <c r="AA32">
        <v>17</v>
      </c>
      <c r="AB32">
        <v>98</v>
      </c>
      <c r="AC32">
        <v>16</v>
      </c>
      <c r="AD32">
        <v>2</v>
      </c>
      <c r="AE32">
        <v>0</v>
      </c>
      <c r="AF32">
        <v>55</v>
      </c>
      <c r="AG32">
        <v>10</v>
      </c>
      <c r="AH32">
        <v>8</v>
      </c>
      <c r="AI32">
        <v>28</v>
      </c>
      <c r="AJ32">
        <v>0</v>
      </c>
      <c r="AK32">
        <v>23.4</v>
      </c>
      <c r="AL32">
        <v>2.2000000000000002</v>
      </c>
      <c r="AM32">
        <v>21.5</v>
      </c>
      <c r="AN32">
        <v>13</v>
      </c>
      <c r="AO32">
        <v>14.6</v>
      </c>
      <c r="AP32">
        <v>13.93</v>
      </c>
      <c r="AQ32">
        <v>7.9989999999999997</v>
      </c>
      <c r="AR32">
        <v>0</v>
      </c>
      <c r="AS32">
        <v>4</v>
      </c>
      <c r="AT32">
        <v>8.6</v>
      </c>
      <c r="AU32">
        <v>0</v>
      </c>
      <c r="AV32">
        <v>9</v>
      </c>
      <c r="AW32">
        <v>5.3</v>
      </c>
      <c r="AX32">
        <v>12</v>
      </c>
      <c r="AY32">
        <v>137</v>
      </c>
      <c r="AZ32">
        <v>12</v>
      </c>
      <c r="BA32">
        <v>5</v>
      </c>
      <c r="BB32">
        <v>12</v>
      </c>
      <c r="BC32">
        <v>3.6</v>
      </c>
      <c r="BD32">
        <v>5</v>
      </c>
      <c r="BE32">
        <v>10</v>
      </c>
      <c r="BF32">
        <v>11.68</v>
      </c>
      <c r="BG32">
        <v>13.8</v>
      </c>
      <c r="BH32">
        <v>19.399999999999999</v>
      </c>
      <c r="BI32">
        <v>38.799999999999997</v>
      </c>
      <c r="BJ32">
        <v>13</v>
      </c>
      <c r="BK32">
        <v>41.6</v>
      </c>
      <c r="BL32">
        <v>0</v>
      </c>
      <c r="BM32">
        <v>0</v>
      </c>
      <c r="BN32">
        <v>7.1</v>
      </c>
      <c r="BO32">
        <v>7</v>
      </c>
      <c r="BP32">
        <v>0</v>
      </c>
      <c r="BQ32">
        <v>8</v>
      </c>
      <c r="BR32">
        <v>2</v>
      </c>
      <c r="BS32">
        <v>52</v>
      </c>
      <c r="BU32" s="1">
        <f>AVERAGE(Table9[[#This Row],[1-Jan-21]:[1-Dec-25]])</f>
        <v>23.343483333333328</v>
      </c>
    </row>
    <row r="33" spans="1:73" x14ac:dyDescent="0.55000000000000004">
      <c r="A33">
        <v>32</v>
      </c>
      <c r="B33" t="s">
        <v>71</v>
      </c>
      <c r="C33" t="s">
        <v>72</v>
      </c>
      <c r="D33" t="s">
        <v>73</v>
      </c>
      <c r="E33" t="s">
        <v>87</v>
      </c>
      <c r="F33">
        <v>107634</v>
      </c>
      <c r="G33" t="s">
        <v>130</v>
      </c>
      <c r="H33" t="s">
        <v>76</v>
      </c>
      <c r="I33" t="s">
        <v>80</v>
      </c>
      <c r="J33">
        <v>39.520000000000003</v>
      </c>
      <c r="K33">
        <v>112</v>
      </c>
      <c r="L33">
        <v>70</v>
      </c>
      <c r="M33">
        <v>46</v>
      </c>
      <c r="N33">
        <v>57</v>
      </c>
      <c r="O33">
        <v>126</v>
      </c>
      <c r="P33">
        <v>51</v>
      </c>
      <c r="Q33">
        <v>56</v>
      </c>
      <c r="R33">
        <v>35</v>
      </c>
      <c r="S33">
        <v>32</v>
      </c>
      <c r="T33">
        <v>130</v>
      </c>
      <c r="U33">
        <v>140</v>
      </c>
      <c r="V33">
        <v>81</v>
      </c>
      <c r="W33">
        <v>48</v>
      </c>
      <c r="X33">
        <v>47</v>
      </c>
      <c r="Y33">
        <v>14</v>
      </c>
      <c r="Z33">
        <v>22</v>
      </c>
      <c r="AA33">
        <v>30</v>
      </c>
      <c r="AB33">
        <v>70</v>
      </c>
      <c r="AC33">
        <v>32</v>
      </c>
      <c r="AD33">
        <v>20</v>
      </c>
      <c r="AE33">
        <v>0</v>
      </c>
      <c r="AF33">
        <v>26</v>
      </c>
      <c r="AG33">
        <v>10</v>
      </c>
      <c r="AH33">
        <v>25</v>
      </c>
      <c r="AI33">
        <v>36</v>
      </c>
      <c r="AJ33">
        <v>2</v>
      </c>
      <c r="AK33">
        <v>0</v>
      </c>
      <c r="AL33">
        <v>34</v>
      </c>
      <c r="AM33">
        <v>14</v>
      </c>
      <c r="AN33">
        <v>0</v>
      </c>
      <c r="AO33">
        <v>0</v>
      </c>
      <c r="AP33">
        <v>20</v>
      </c>
      <c r="AQ33">
        <v>24</v>
      </c>
      <c r="AR33">
        <v>10</v>
      </c>
      <c r="AS33">
        <v>2</v>
      </c>
      <c r="AT33">
        <v>43</v>
      </c>
      <c r="AU33">
        <v>20</v>
      </c>
      <c r="AV33">
        <v>16</v>
      </c>
      <c r="AW33">
        <v>52</v>
      </c>
      <c r="AX33">
        <v>8</v>
      </c>
      <c r="AY33">
        <v>20</v>
      </c>
      <c r="AZ33">
        <v>42</v>
      </c>
      <c r="BA33">
        <v>96</v>
      </c>
      <c r="BB33">
        <v>12</v>
      </c>
      <c r="BC33">
        <v>22</v>
      </c>
      <c r="BD33">
        <v>130</v>
      </c>
      <c r="BE33">
        <v>40</v>
      </c>
      <c r="BF33">
        <v>160</v>
      </c>
      <c r="BG33">
        <v>86</v>
      </c>
      <c r="BH33">
        <v>75</v>
      </c>
      <c r="BI33">
        <v>40</v>
      </c>
      <c r="BJ33">
        <v>14</v>
      </c>
      <c r="BK33">
        <v>50</v>
      </c>
      <c r="BL33">
        <v>20</v>
      </c>
      <c r="BM33">
        <v>0</v>
      </c>
      <c r="BN33">
        <v>33</v>
      </c>
      <c r="BO33">
        <v>25</v>
      </c>
      <c r="BP33">
        <v>34</v>
      </c>
      <c r="BQ33">
        <v>5</v>
      </c>
      <c r="BR33">
        <v>8</v>
      </c>
      <c r="BS33">
        <v>55</v>
      </c>
      <c r="BU33" s="1">
        <f>AVERAGE(Table9[[#This Row],[1-Jan-21]:[1-Dec-25]])</f>
        <v>41.216666666666669</v>
      </c>
    </row>
    <row r="34" spans="1:73" x14ac:dyDescent="0.55000000000000004">
      <c r="A34">
        <v>33</v>
      </c>
      <c r="B34" t="s">
        <v>71</v>
      </c>
      <c r="C34" t="s">
        <v>72</v>
      </c>
      <c r="D34" t="s">
        <v>73</v>
      </c>
      <c r="E34" t="s">
        <v>87</v>
      </c>
      <c r="F34">
        <v>107608</v>
      </c>
      <c r="G34" t="s">
        <v>131</v>
      </c>
      <c r="H34" t="s">
        <v>76</v>
      </c>
      <c r="I34" t="s">
        <v>80</v>
      </c>
      <c r="J34">
        <v>7.99</v>
      </c>
      <c r="K34">
        <v>384</v>
      </c>
      <c r="L34">
        <v>1049</v>
      </c>
      <c r="M34">
        <v>688</v>
      </c>
      <c r="N34">
        <v>595</v>
      </c>
      <c r="O34">
        <v>905</v>
      </c>
      <c r="P34">
        <v>510</v>
      </c>
      <c r="Q34">
        <v>642</v>
      </c>
      <c r="R34">
        <v>717</v>
      </c>
      <c r="S34">
        <v>540</v>
      </c>
      <c r="T34">
        <v>810</v>
      </c>
      <c r="U34">
        <v>677</v>
      </c>
      <c r="V34">
        <v>501</v>
      </c>
      <c r="W34">
        <v>665</v>
      </c>
      <c r="X34">
        <v>190</v>
      </c>
      <c r="Y34">
        <v>360</v>
      </c>
      <c r="Z34">
        <v>481</v>
      </c>
      <c r="AA34">
        <v>740</v>
      </c>
      <c r="AB34">
        <v>508</v>
      </c>
      <c r="AC34">
        <v>643</v>
      </c>
      <c r="AD34">
        <v>240</v>
      </c>
      <c r="AE34">
        <v>185</v>
      </c>
      <c r="AF34">
        <v>184</v>
      </c>
      <c r="AG34">
        <v>326</v>
      </c>
      <c r="AH34">
        <v>250</v>
      </c>
      <c r="AI34">
        <v>393</v>
      </c>
      <c r="AJ34">
        <v>416</v>
      </c>
      <c r="AK34">
        <v>238</v>
      </c>
      <c r="AL34">
        <v>325</v>
      </c>
      <c r="AM34">
        <v>450</v>
      </c>
      <c r="AN34">
        <v>155</v>
      </c>
      <c r="AO34">
        <v>255</v>
      </c>
      <c r="AP34">
        <v>477</v>
      </c>
      <c r="AQ34">
        <v>292</v>
      </c>
      <c r="AR34">
        <v>263</v>
      </c>
      <c r="AS34">
        <v>237</v>
      </c>
      <c r="AT34">
        <v>430</v>
      </c>
      <c r="AU34">
        <v>282</v>
      </c>
      <c r="AV34">
        <v>435</v>
      </c>
      <c r="AW34">
        <v>527</v>
      </c>
      <c r="AX34">
        <v>392</v>
      </c>
      <c r="AY34">
        <v>404</v>
      </c>
      <c r="AZ34">
        <v>142</v>
      </c>
      <c r="BA34">
        <v>698</v>
      </c>
      <c r="BB34">
        <v>494</v>
      </c>
      <c r="BC34">
        <v>442</v>
      </c>
      <c r="BD34">
        <v>377</v>
      </c>
      <c r="BE34">
        <v>466</v>
      </c>
      <c r="BF34">
        <v>343</v>
      </c>
      <c r="BG34">
        <v>351</v>
      </c>
      <c r="BH34">
        <v>485</v>
      </c>
      <c r="BI34">
        <v>310</v>
      </c>
      <c r="BJ34">
        <v>775</v>
      </c>
      <c r="BK34">
        <v>260</v>
      </c>
      <c r="BL34">
        <v>366</v>
      </c>
      <c r="BM34">
        <v>440</v>
      </c>
      <c r="BN34">
        <v>369</v>
      </c>
      <c r="BO34">
        <v>358</v>
      </c>
      <c r="BP34">
        <v>182</v>
      </c>
      <c r="BQ34">
        <v>280</v>
      </c>
      <c r="BR34">
        <v>230</v>
      </c>
      <c r="BS34">
        <v>60</v>
      </c>
      <c r="BU34" s="1">
        <f>AVERAGE(Table9[[#This Row],[1-Jan-21]:[1-Dec-25]])</f>
        <v>435.48333333333335</v>
      </c>
    </row>
    <row r="35" spans="1:73" x14ac:dyDescent="0.55000000000000004">
      <c r="A35">
        <v>34</v>
      </c>
      <c r="B35" t="s">
        <v>71</v>
      </c>
      <c r="C35" t="s">
        <v>72</v>
      </c>
      <c r="D35" t="s">
        <v>73</v>
      </c>
      <c r="E35" t="s">
        <v>87</v>
      </c>
      <c r="F35">
        <v>107607</v>
      </c>
      <c r="G35" t="s">
        <v>132</v>
      </c>
      <c r="H35" t="s">
        <v>76</v>
      </c>
      <c r="I35" t="s">
        <v>80</v>
      </c>
      <c r="J35">
        <v>6.95</v>
      </c>
      <c r="K35">
        <v>422</v>
      </c>
      <c r="L35">
        <v>140</v>
      </c>
      <c r="M35">
        <v>196</v>
      </c>
      <c r="N35">
        <v>292</v>
      </c>
      <c r="O35">
        <v>191</v>
      </c>
      <c r="P35">
        <v>568</v>
      </c>
      <c r="Q35">
        <v>178</v>
      </c>
      <c r="R35">
        <v>240</v>
      </c>
      <c r="S35">
        <v>307</v>
      </c>
      <c r="T35">
        <v>345</v>
      </c>
      <c r="U35">
        <v>301</v>
      </c>
      <c r="V35">
        <v>710</v>
      </c>
      <c r="W35">
        <v>260</v>
      </c>
      <c r="X35">
        <v>175</v>
      </c>
      <c r="Y35">
        <v>300</v>
      </c>
      <c r="Z35">
        <v>165</v>
      </c>
      <c r="AA35">
        <v>445</v>
      </c>
      <c r="AB35">
        <v>80</v>
      </c>
      <c r="AC35">
        <v>66</v>
      </c>
      <c r="AD35">
        <v>206</v>
      </c>
      <c r="AE35">
        <v>70</v>
      </c>
      <c r="AF35">
        <v>120</v>
      </c>
      <c r="AG35">
        <v>415</v>
      </c>
      <c r="AH35">
        <v>400</v>
      </c>
      <c r="AI35">
        <v>77</v>
      </c>
      <c r="AJ35">
        <v>219</v>
      </c>
      <c r="AK35">
        <v>64</v>
      </c>
      <c r="AL35">
        <v>152</v>
      </c>
      <c r="AM35">
        <v>295</v>
      </c>
      <c r="AN35">
        <v>180</v>
      </c>
      <c r="AO35">
        <v>295</v>
      </c>
      <c r="AP35">
        <v>215</v>
      </c>
      <c r="AQ35">
        <v>85</v>
      </c>
      <c r="AR35">
        <v>160</v>
      </c>
      <c r="AS35">
        <v>41</v>
      </c>
      <c r="AT35">
        <v>56</v>
      </c>
      <c r="AU35">
        <v>141</v>
      </c>
      <c r="AV35">
        <v>110</v>
      </c>
      <c r="AW35">
        <v>105</v>
      </c>
      <c r="AX35">
        <v>46</v>
      </c>
      <c r="AY35">
        <v>479</v>
      </c>
      <c r="AZ35">
        <v>228</v>
      </c>
      <c r="BA35">
        <v>170</v>
      </c>
      <c r="BB35">
        <v>288</v>
      </c>
      <c r="BC35">
        <v>220</v>
      </c>
      <c r="BD35">
        <v>383</v>
      </c>
      <c r="BE35">
        <v>190</v>
      </c>
      <c r="BF35">
        <v>77</v>
      </c>
      <c r="BG35">
        <v>142</v>
      </c>
      <c r="BH35">
        <v>526</v>
      </c>
      <c r="BI35">
        <v>315</v>
      </c>
      <c r="BJ35">
        <v>2071</v>
      </c>
      <c r="BK35">
        <v>105</v>
      </c>
      <c r="BL35">
        <v>150</v>
      </c>
      <c r="BM35">
        <v>150</v>
      </c>
      <c r="BN35">
        <v>75</v>
      </c>
      <c r="BO35">
        <v>265</v>
      </c>
      <c r="BP35">
        <v>50</v>
      </c>
      <c r="BQ35">
        <v>195</v>
      </c>
      <c r="BR35">
        <v>161</v>
      </c>
      <c r="BS35">
        <v>60</v>
      </c>
      <c r="BU35" s="1">
        <f>AVERAGE(Table9[[#This Row],[1-Jan-21]:[1-Dec-25]])</f>
        <v>251.21666666666667</v>
      </c>
    </row>
    <row r="36" spans="1:73" x14ac:dyDescent="0.55000000000000004">
      <c r="A36">
        <v>35</v>
      </c>
      <c r="B36" t="s">
        <v>71</v>
      </c>
      <c r="C36" t="s">
        <v>72</v>
      </c>
      <c r="D36" t="s">
        <v>73</v>
      </c>
      <c r="E36" t="s">
        <v>87</v>
      </c>
      <c r="F36">
        <v>107637</v>
      </c>
      <c r="G36" t="s">
        <v>133</v>
      </c>
      <c r="H36" t="s">
        <v>76</v>
      </c>
      <c r="I36" t="s">
        <v>80</v>
      </c>
      <c r="J36">
        <v>5.8</v>
      </c>
      <c r="K36">
        <v>40</v>
      </c>
      <c r="L36">
        <v>50</v>
      </c>
      <c r="M36">
        <v>71</v>
      </c>
      <c r="N36">
        <v>76</v>
      </c>
      <c r="O36">
        <v>40</v>
      </c>
      <c r="P36">
        <v>40</v>
      </c>
      <c r="Q36">
        <v>40</v>
      </c>
      <c r="R36">
        <v>10</v>
      </c>
      <c r="S36">
        <v>85</v>
      </c>
      <c r="T36">
        <v>84</v>
      </c>
      <c r="U36">
        <v>50</v>
      </c>
      <c r="V36">
        <v>10</v>
      </c>
      <c r="W36">
        <v>141</v>
      </c>
      <c r="X36">
        <v>90</v>
      </c>
      <c r="Y36">
        <v>56</v>
      </c>
      <c r="Z36">
        <v>10</v>
      </c>
      <c r="AA36">
        <v>81</v>
      </c>
      <c r="AB36">
        <v>83</v>
      </c>
      <c r="AC36">
        <v>20</v>
      </c>
      <c r="AD36">
        <v>0</v>
      </c>
      <c r="AE36">
        <v>37</v>
      </c>
      <c r="AF36">
        <v>0</v>
      </c>
      <c r="AG36">
        <v>36</v>
      </c>
      <c r="AH36">
        <v>50</v>
      </c>
      <c r="AI36">
        <v>55</v>
      </c>
      <c r="AJ36">
        <v>24</v>
      </c>
      <c r="AK36">
        <v>0</v>
      </c>
      <c r="AL36">
        <v>16</v>
      </c>
      <c r="AM36">
        <v>0</v>
      </c>
      <c r="AN36">
        <v>15</v>
      </c>
      <c r="AO36">
        <v>36</v>
      </c>
      <c r="AP36">
        <v>8</v>
      </c>
      <c r="AQ36">
        <v>20</v>
      </c>
      <c r="AR36">
        <v>20</v>
      </c>
      <c r="AS36">
        <v>0</v>
      </c>
      <c r="AT36">
        <v>47</v>
      </c>
      <c r="AU36">
        <v>44</v>
      </c>
      <c r="AV36">
        <v>0</v>
      </c>
      <c r="AW36">
        <v>87</v>
      </c>
      <c r="AX36">
        <v>24</v>
      </c>
      <c r="AY36">
        <v>0</v>
      </c>
      <c r="AZ36">
        <v>0</v>
      </c>
      <c r="BA36">
        <v>20</v>
      </c>
      <c r="BB36">
        <v>26</v>
      </c>
      <c r="BC36">
        <v>21</v>
      </c>
      <c r="BD36">
        <v>34</v>
      </c>
      <c r="BE36">
        <v>50</v>
      </c>
      <c r="BF36">
        <v>14</v>
      </c>
      <c r="BG36">
        <v>37</v>
      </c>
      <c r="BH36">
        <v>2</v>
      </c>
      <c r="BI36">
        <v>6</v>
      </c>
      <c r="BJ36">
        <v>27</v>
      </c>
      <c r="BK36">
        <v>8</v>
      </c>
      <c r="BL36">
        <v>0</v>
      </c>
      <c r="BM36">
        <v>0</v>
      </c>
      <c r="BN36">
        <v>10</v>
      </c>
      <c r="BO36">
        <v>35</v>
      </c>
      <c r="BP36">
        <v>12</v>
      </c>
      <c r="BQ36">
        <v>0</v>
      </c>
      <c r="BR36">
        <v>0</v>
      </c>
      <c r="BS36">
        <v>48</v>
      </c>
      <c r="BU36" s="1">
        <f>AVERAGE(Table9[[#This Row],[1-Jan-21]:[1-Dec-25]])</f>
        <v>31.633333333333333</v>
      </c>
    </row>
    <row r="37" spans="1:73" x14ac:dyDescent="0.55000000000000004">
      <c r="A37">
        <v>36</v>
      </c>
      <c r="B37" t="s">
        <v>71</v>
      </c>
      <c r="C37" t="s">
        <v>72</v>
      </c>
      <c r="D37" t="s">
        <v>73</v>
      </c>
      <c r="E37" t="s">
        <v>134</v>
      </c>
      <c r="F37">
        <v>108441</v>
      </c>
      <c r="G37" t="s">
        <v>135</v>
      </c>
      <c r="H37" t="s">
        <v>76</v>
      </c>
      <c r="I37" t="s">
        <v>80</v>
      </c>
      <c r="J37">
        <v>260.99</v>
      </c>
      <c r="K37">
        <v>1</v>
      </c>
      <c r="L37">
        <v>4</v>
      </c>
      <c r="M37">
        <v>2</v>
      </c>
      <c r="N37">
        <v>2</v>
      </c>
      <c r="O37">
        <v>2</v>
      </c>
      <c r="P37">
        <v>2</v>
      </c>
      <c r="Q37">
        <v>0</v>
      </c>
      <c r="R37">
        <v>0</v>
      </c>
      <c r="S37">
        <v>3</v>
      </c>
      <c r="T37">
        <v>1</v>
      </c>
      <c r="U37">
        <v>4</v>
      </c>
      <c r="V37">
        <v>0</v>
      </c>
      <c r="W37">
        <v>4</v>
      </c>
      <c r="X37">
        <v>3</v>
      </c>
      <c r="Y37">
        <v>4</v>
      </c>
      <c r="Z37">
        <v>2</v>
      </c>
      <c r="AA37">
        <v>0</v>
      </c>
      <c r="AB37">
        <v>3</v>
      </c>
      <c r="AC37">
        <v>0</v>
      </c>
      <c r="AD37">
        <v>0</v>
      </c>
      <c r="AE37">
        <v>1</v>
      </c>
      <c r="AF37">
        <v>1</v>
      </c>
      <c r="AG37">
        <v>2</v>
      </c>
      <c r="AH37">
        <v>3</v>
      </c>
      <c r="AI37">
        <v>3</v>
      </c>
      <c r="AJ37">
        <v>0</v>
      </c>
      <c r="AK37">
        <v>0</v>
      </c>
      <c r="AL37">
        <v>0</v>
      </c>
      <c r="AM37">
        <v>3</v>
      </c>
      <c r="AN37">
        <v>1</v>
      </c>
      <c r="AO37">
        <v>4</v>
      </c>
      <c r="AP37">
        <v>1</v>
      </c>
      <c r="AQ37">
        <v>1</v>
      </c>
      <c r="AR37">
        <v>2</v>
      </c>
      <c r="AS37">
        <v>0</v>
      </c>
      <c r="AT37">
        <v>0</v>
      </c>
      <c r="AU37">
        <v>0</v>
      </c>
      <c r="AV37">
        <v>1</v>
      </c>
      <c r="AW37">
        <v>2</v>
      </c>
      <c r="AX37">
        <v>0</v>
      </c>
      <c r="AY37">
        <v>1</v>
      </c>
      <c r="AZ37">
        <v>2</v>
      </c>
      <c r="BA37">
        <v>2</v>
      </c>
      <c r="BB37">
        <v>0</v>
      </c>
      <c r="BC37">
        <v>2</v>
      </c>
      <c r="BD37">
        <v>1</v>
      </c>
      <c r="BE37">
        <v>2</v>
      </c>
      <c r="BF37">
        <v>1</v>
      </c>
      <c r="BG37">
        <v>1</v>
      </c>
      <c r="BH37">
        <v>0</v>
      </c>
      <c r="BI37">
        <v>3</v>
      </c>
      <c r="BJ37">
        <v>2</v>
      </c>
      <c r="BK37">
        <v>1</v>
      </c>
      <c r="BL37">
        <v>0</v>
      </c>
      <c r="BM37">
        <v>1</v>
      </c>
      <c r="BN37">
        <v>2</v>
      </c>
      <c r="BO37">
        <v>3</v>
      </c>
      <c r="BP37">
        <v>0</v>
      </c>
      <c r="BQ37">
        <v>0</v>
      </c>
      <c r="BR37">
        <v>0</v>
      </c>
      <c r="BS37">
        <v>41</v>
      </c>
      <c r="BU37" s="1">
        <f>AVERAGE(Table9[[#This Row],[1-Jan-21]:[1-Dec-25]])</f>
        <v>1.4333333333333333</v>
      </c>
    </row>
    <row r="38" spans="1:73" x14ac:dyDescent="0.55000000000000004">
      <c r="A38">
        <v>37</v>
      </c>
      <c r="B38" t="s">
        <v>71</v>
      </c>
      <c r="C38" t="s">
        <v>72</v>
      </c>
      <c r="D38" t="s">
        <v>73</v>
      </c>
      <c r="E38" t="s">
        <v>99</v>
      </c>
      <c r="F38">
        <v>108123</v>
      </c>
      <c r="G38" t="s">
        <v>136</v>
      </c>
      <c r="H38" t="s">
        <v>76</v>
      </c>
      <c r="I38" t="s">
        <v>80</v>
      </c>
      <c r="J38">
        <v>587.97</v>
      </c>
      <c r="K38">
        <v>5</v>
      </c>
      <c r="L38">
        <v>0</v>
      </c>
      <c r="M38">
        <v>5</v>
      </c>
      <c r="N38">
        <v>9</v>
      </c>
      <c r="O38">
        <v>3</v>
      </c>
      <c r="P38">
        <v>8</v>
      </c>
      <c r="Q38">
        <v>8</v>
      </c>
      <c r="R38">
        <v>2</v>
      </c>
      <c r="S38">
        <v>5</v>
      </c>
      <c r="T38">
        <v>6</v>
      </c>
      <c r="U38">
        <v>2</v>
      </c>
      <c r="V38">
        <v>2</v>
      </c>
      <c r="W38">
        <v>3</v>
      </c>
      <c r="X38">
        <v>4</v>
      </c>
      <c r="Y38">
        <v>7</v>
      </c>
      <c r="Z38">
        <v>0</v>
      </c>
      <c r="AA38">
        <v>7</v>
      </c>
      <c r="AB38">
        <v>3</v>
      </c>
      <c r="AC38">
        <v>3</v>
      </c>
      <c r="AD38">
        <v>2</v>
      </c>
      <c r="AE38">
        <v>4</v>
      </c>
      <c r="AF38">
        <v>3</v>
      </c>
      <c r="AG38">
        <v>3</v>
      </c>
      <c r="AH38">
        <v>1</v>
      </c>
      <c r="AI38">
        <v>3</v>
      </c>
      <c r="AJ38">
        <v>2</v>
      </c>
      <c r="AK38">
        <v>4</v>
      </c>
      <c r="AL38">
        <v>0</v>
      </c>
      <c r="AM38">
        <v>3</v>
      </c>
      <c r="AN38">
        <v>1</v>
      </c>
      <c r="AO38">
        <v>2</v>
      </c>
      <c r="AP38">
        <v>3</v>
      </c>
      <c r="AQ38">
        <v>3</v>
      </c>
      <c r="AR38">
        <v>4</v>
      </c>
      <c r="AS38">
        <v>7</v>
      </c>
      <c r="AT38">
        <v>4</v>
      </c>
      <c r="AU38">
        <v>13</v>
      </c>
      <c r="AV38">
        <v>7</v>
      </c>
      <c r="AW38">
        <v>5</v>
      </c>
      <c r="AX38">
        <v>0</v>
      </c>
      <c r="AY38">
        <v>7</v>
      </c>
      <c r="AZ38">
        <v>5</v>
      </c>
      <c r="BA38">
        <v>6</v>
      </c>
      <c r="BB38">
        <v>10</v>
      </c>
      <c r="BC38">
        <v>9</v>
      </c>
      <c r="BD38">
        <v>8</v>
      </c>
      <c r="BE38">
        <v>7</v>
      </c>
      <c r="BF38">
        <v>13</v>
      </c>
      <c r="BG38">
        <v>8</v>
      </c>
      <c r="BH38">
        <v>9</v>
      </c>
      <c r="BI38">
        <v>2</v>
      </c>
      <c r="BJ38">
        <v>3</v>
      </c>
      <c r="BK38">
        <v>5</v>
      </c>
      <c r="BL38">
        <v>8</v>
      </c>
      <c r="BM38">
        <v>5</v>
      </c>
      <c r="BN38">
        <v>5</v>
      </c>
      <c r="BO38">
        <v>11</v>
      </c>
      <c r="BP38">
        <v>4</v>
      </c>
      <c r="BQ38">
        <v>6</v>
      </c>
      <c r="BR38">
        <v>11</v>
      </c>
      <c r="BS38">
        <v>56</v>
      </c>
      <c r="BU38" s="1">
        <f>AVERAGE(Table9[[#This Row],[1-Jan-21]:[1-Dec-25]])</f>
        <v>4.9666666666666668</v>
      </c>
    </row>
    <row r="39" spans="1:73" x14ac:dyDescent="0.55000000000000004">
      <c r="A39">
        <v>38</v>
      </c>
      <c r="B39" t="s">
        <v>71</v>
      </c>
      <c r="C39" t="s">
        <v>72</v>
      </c>
      <c r="D39" t="s">
        <v>73</v>
      </c>
      <c r="E39" t="s">
        <v>99</v>
      </c>
      <c r="F39">
        <v>108121</v>
      </c>
      <c r="G39" t="s">
        <v>137</v>
      </c>
      <c r="H39" t="s">
        <v>76</v>
      </c>
      <c r="I39" t="s">
        <v>80</v>
      </c>
      <c r="J39">
        <v>206.01</v>
      </c>
      <c r="K39">
        <v>23</v>
      </c>
      <c r="L39">
        <v>65</v>
      </c>
      <c r="M39">
        <v>130</v>
      </c>
      <c r="N39">
        <v>4</v>
      </c>
      <c r="O39">
        <v>80</v>
      </c>
      <c r="P39">
        <v>201</v>
      </c>
      <c r="Q39">
        <v>0</v>
      </c>
      <c r="R39">
        <v>2</v>
      </c>
      <c r="S39">
        <v>3</v>
      </c>
      <c r="T39">
        <v>0</v>
      </c>
      <c r="U39">
        <v>8</v>
      </c>
      <c r="V39">
        <v>0</v>
      </c>
      <c r="W39">
        <v>2</v>
      </c>
      <c r="X39">
        <v>7</v>
      </c>
      <c r="Y39">
        <v>2</v>
      </c>
      <c r="Z39">
        <v>17</v>
      </c>
      <c r="AA39">
        <v>17</v>
      </c>
      <c r="AB39">
        <v>6</v>
      </c>
      <c r="AC39">
        <v>2</v>
      </c>
      <c r="AD39">
        <v>60</v>
      </c>
      <c r="AE39">
        <v>3</v>
      </c>
      <c r="AF39">
        <v>200</v>
      </c>
      <c r="AG39">
        <v>2</v>
      </c>
      <c r="AH39">
        <v>78</v>
      </c>
      <c r="AI39">
        <v>14</v>
      </c>
      <c r="AJ39">
        <v>1</v>
      </c>
      <c r="AK39">
        <v>1302</v>
      </c>
      <c r="AL39">
        <v>49</v>
      </c>
      <c r="AM39">
        <v>3</v>
      </c>
      <c r="AN39">
        <v>12</v>
      </c>
      <c r="AO39">
        <v>10</v>
      </c>
      <c r="AP39">
        <v>2</v>
      </c>
      <c r="AQ39">
        <v>8</v>
      </c>
      <c r="AR39">
        <v>132</v>
      </c>
      <c r="AS39">
        <v>240</v>
      </c>
      <c r="AT39">
        <v>2</v>
      </c>
      <c r="AU39">
        <v>380</v>
      </c>
      <c r="AV39">
        <v>0</v>
      </c>
      <c r="AW39">
        <v>803</v>
      </c>
      <c r="AX39">
        <v>104</v>
      </c>
      <c r="AY39">
        <v>403</v>
      </c>
      <c r="AZ39">
        <v>305</v>
      </c>
      <c r="BA39">
        <v>0</v>
      </c>
      <c r="BB39">
        <v>100</v>
      </c>
      <c r="BC39">
        <v>0</v>
      </c>
      <c r="BD39">
        <v>38</v>
      </c>
      <c r="BE39">
        <v>82</v>
      </c>
      <c r="BF39">
        <v>103</v>
      </c>
      <c r="BG39">
        <v>6</v>
      </c>
      <c r="BH39">
        <v>7</v>
      </c>
      <c r="BI39">
        <v>0</v>
      </c>
      <c r="BJ39">
        <v>1</v>
      </c>
      <c r="BK39">
        <v>7</v>
      </c>
      <c r="BL39">
        <v>255</v>
      </c>
      <c r="BM39">
        <v>557</v>
      </c>
      <c r="BN39">
        <v>10</v>
      </c>
      <c r="BO39">
        <v>2</v>
      </c>
      <c r="BP39">
        <v>22</v>
      </c>
      <c r="BQ39">
        <v>3</v>
      </c>
      <c r="BR39">
        <v>2</v>
      </c>
      <c r="BS39">
        <v>53</v>
      </c>
      <c r="BU39" s="1">
        <f>AVERAGE(Table9[[#This Row],[1-Jan-21]:[1-Dec-25]])</f>
        <v>97.95</v>
      </c>
    </row>
    <row r="40" spans="1:73" x14ac:dyDescent="0.55000000000000004">
      <c r="A40">
        <v>39</v>
      </c>
      <c r="B40" t="s">
        <v>71</v>
      </c>
      <c r="C40" t="s">
        <v>72</v>
      </c>
      <c r="D40" t="s">
        <v>73</v>
      </c>
      <c r="E40" t="s">
        <v>99</v>
      </c>
      <c r="F40">
        <v>108134</v>
      </c>
      <c r="G40" t="s">
        <v>138</v>
      </c>
      <c r="H40" t="s">
        <v>76</v>
      </c>
      <c r="I40" t="s">
        <v>80</v>
      </c>
      <c r="J40">
        <v>266.64999999999998</v>
      </c>
      <c r="K40">
        <v>38</v>
      </c>
      <c r="L40">
        <v>0</v>
      </c>
      <c r="M40">
        <v>12</v>
      </c>
      <c r="N40">
        <v>2</v>
      </c>
      <c r="O40">
        <v>1</v>
      </c>
      <c r="P40">
        <v>3</v>
      </c>
      <c r="Q40">
        <v>4</v>
      </c>
      <c r="R40">
        <v>1</v>
      </c>
      <c r="S40">
        <v>13</v>
      </c>
      <c r="T40">
        <v>13</v>
      </c>
      <c r="U40">
        <v>6</v>
      </c>
      <c r="V40">
        <v>3</v>
      </c>
      <c r="W40">
        <v>11</v>
      </c>
      <c r="X40">
        <v>2</v>
      </c>
      <c r="Y40">
        <v>12</v>
      </c>
      <c r="Z40">
        <v>10</v>
      </c>
      <c r="AA40">
        <v>0</v>
      </c>
      <c r="AB40">
        <v>10</v>
      </c>
      <c r="AC40">
        <v>3</v>
      </c>
      <c r="AD40">
        <v>8</v>
      </c>
      <c r="AE40">
        <v>26</v>
      </c>
      <c r="AF40">
        <v>4</v>
      </c>
      <c r="AG40">
        <v>6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3</v>
      </c>
      <c r="AN40">
        <v>2</v>
      </c>
      <c r="AO40">
        <v>2</v>
      </c>
      <c r="AP40">
        <v>1</v>
      </c>
      <c r="AQ40">
        <v>5</v>
      </c>
      <c r="AR40">
        <v>3</v>
      </c>
      <c r="AS40">
        <v>4</v>
      </c>
      <c r="AT40">
        <v>1</v>
      </c>
      <c r="AU40">
        <v>6</v>
      </c>
      <c r="AV40">
        <v>2</v>
      </c>
      <c r="AW40">
        <v>3</v>
      </c>
      <c r="AX40">
        <v>0</v>
      </c>
      <c r="AY40">
        <v>5</v>
      </c>
      <c r="AZ40">
        <v>3</v>
      </c>
      <c r="BA40">
        <v>0</v>
      </c>
      <c r="BB40">
        <v>0</v>
      </c>
      <c r="BC40">
        <v>2</v>
      </c>
      <c r="BD40">
        <v>4</v>
      </c>
      <c r="BE40">
        <v>3</v>
      </c>
      <c r="BF40">
        <v>4</v>
      </c>
      <c r="BG40">
        <v>5</v>
      </c>
      <c r="BH40">
        <v>4</v>
      </c>
      <c r="BI40">
        <v>3</v>
      </c>
      <c r="BJ40">
        <v>1</v>
      </c>
      <c r="BK40">
        <v>3</v>
      </c>
      <c r="BL40">
        <v>1</v>
      </c>
      <c r="BM40">
        <v>0</v>
      </c>
      <c r="BN40">
        <v>2</v>
      </c>
      <c r="BO40">
        <v>2</v>
      </c>
      <c r="BP40">
        <v>4</v>
      </c>
      <c r="BQ40">
        <v>2</v>
      </c>
      <c r="BR40">
        <v>2</v>
      </c>
      <c r="BS40">
        <v>53</v>
      </c>
      <c r="BU40" s="1">
        <f>AVERAGE(Table9[[#This Row],[1-Jan-21]:[1-Dec-25]])</f>
        <v>4.5666666666666664</v>
      </c>
    </row>
    <row r="41" spans="1:73" x14ac:dyDescent="0.55000000000000004">
      <c r="A41">
        <v>40</v>
      </c>
      <c r="B41" t="s">
        <v>71</v>
      </c>
      <c r="C41" t="s">
        <v>72</v>
      </c>
      <c r="D41" t="s">
        <v>73</v>
      </c>
      <c r="E41" t="s">
        <v>134</v>
      </c>
      <c r="F41">
        <v>108561</v>
      </c>
      <c r="G41" t="s">
        <v>139</v>
      </c>
      <c r="H41" t="s">
        <v>76</v>
      </c>
      <c r="I41" t="s">
        <v>80</v>
      </c>
      <c r="J41">
        <v>1962.85</v>
      </c>
      <c r="K41">
        <v>7</v>
      </c>
      <c r="L41">
        <v>17</v>
      </c>
      <c r="M41">
        <v>11</v>
      </c>
      <c r="N41">
        <v>6</v>
      </c>
      <c r="O41">
        <v>10</v>
      </c>
      <c r="P41">
        <v>20</v>
      </c>
      <c r="Q41">
        <v>4</v>
      </c>
      <c r="R41">
        <v>6</v>
      </c>
      <c r="S41">
        <v>9</v>
      </c>
      <c r="T41">
        <v>7</v>
      </c>
      <c r="U41">
        <v>13</v>
      </c>
      <c r="V41">
        <v>12</v>
      </c>
      <c r="W41">
        <v>16</v>
      </c>
      <c r="X41">
        <v>15</v>
      </c>
      <c r="Y41">
        <v>27</v>
      </c>
      <c r="Z41">
        <v>11</v>
      </c>
      <c r="AA41">
        <v>10</v>
      </c>
      <c r="AB41">
        <v>20</v>
      </c>
      <c r="AC41">
        <v>18</v>
      </c>
      <c r="AD41">
        <v>0</v>
      </c>
      <c r="AE41">
        <v>2</v>
      </c>
      <c r="AF41">
        <v>10</v>
      </c>
      <c r="AG41">
        <v>8</v>
      </c>
      <c r="AH41">
        <v>7</v>
      </c>
      <c r="AI41">
        <v>9</v>
      </c>
      <c r="AJ41">
        <v>15</v>
      </c>
      <c r="AK41">
        <v>10</v>
      </c>
      <c r="AL41">
        <v>6</v>
      </c>
      <c r="AM41">
        <v>6</v>
      </c>
      <c r="AN41">
        <v>7</v>
      </c>
      <c r="AO41">
        <v>12</v>
      </c>
      <c r="AP41">
        <v>8</v>
      </c>
      <c r="AQ41">
        <v>0</v>
      </c>
      <c r="AR41">
        <v>4</v>
      </c>
      <c r="AS41">
        <v>7</v>
      </c>
      <c r="AT41">
        <v>0</v>
      </c>
      <c r="AU41">
        <v>12</v>
      </c>
      <c r="AV41">
        <v>4</v>
      </c>
      <c r="AW41">
        <v>9</v>
      </c>
      <c r="AX41">
        <v>5</v>
      </c>
      <c r="AY41">
        <v>19</v>
      </c>
      <c r="AZ41">
        <v>0</v>
      </c>
      <c r="BA41">
        <v>8</v>
      </c>
      <c r="BB41">
        <v>12</v>
      </c>
      <c r="BC41">
        <v>4</v>
      </c>
      <c r="BD41">
        <v>25</v>
      </c>
      <c r="BE41">
        <v>3</v>
      </c>
      <c r="BF41">
        <v>13</v>
      </c>
      <c r="BG41">
        <v>13</v>
      </c>
      <c r="BH41">
        <v>24</v>
      </c>
      <c r="BI41">
        <v>7</v>
      </c>
      <c r="BJ41">
        <v>10</v>
      </c>
      <c r="BK41">
        <v>2</v>
      </c>
      <c r="BL41">
        <v>0</v>
      </c>
      <c r="BM41">
        <v>2</v>
      </c>
      <c r="BN41">
        <v>6</v>
      </c>
      <c r="BO41">
        <v>7</v>
      </c>
      <c r="BP41">
        <v>14</v>
      </c>
      <c r="BQ41">
        <v>4</v>
      </c>
      <c r="BR41">
        <v>7</v>
      </c>
      <c r="BS41">
        <v>55</v>
      </c>
      <c r="BU41" s="1">
        <f>AVERAGE(Table9[[#This Row],[1-Jan-21]:[1-Dec-25]])</f>
        <v>9.3333333333333339</v>
      </c>
    </row>
    <row r="42" spans="1:73" x14ac:dyDescent="0.55000000000000004">
      <c r="A42">
        <v>41</v>
      </c>
      <c r="B42" t="s">
        <v>71</v>
      </c>
      <c r="C42" t="s">
        <v>72</v>
      </c>
      <c r="D42" t="s">
        <v>73</v>
      </c>
      <c r="E42" t="s">
        <v>78</v>
      </c>
      <c r="F42">
        <v>109017</v>
      </c>
      <c r="G42" t="s">
        <v>140</v>
      </c>
      <c r="H42" t="s">
        <v>76</v>
      </c>
      <c r="I42" t="s">
        <v>80</v>
      </c>
      <c r="J42">
        <v>20.84</v>
      </c>
      <c r="K42">
        <v>46</v>
      </c>
      <c r="L42">
        <v>41</v>
      </c>
      <c r="M42">
        <v>134</v>
      </c>
      <c r="N42">
        <v>36</v>
      </c>
      <c r="O42">
        <v>63</v>
      </c>
      <c r="P42">
        <v>39</v>
      </c>
      <c r="Q42">
        <v>34</v>
      </c>
      <c r="R42">
        <v>91</v>
      </c>
      <c r="S42">
        <v>31</v>
      </c>
      <c r="T42">
        <v>64</v>
      </c>
      <c r="U42">
        <v>34</v>
      </c>
      <c r="V42">
        <v>26</v>
      </c>
      <c r="W42">
        <v>49</v>
      </c>
      <c r="X42">
        <v>66</v>
      </c>
      <c r="Y42">
        <v>77</v>
      </c>
      <c r="Z42">
        <v>45</v>
      </c>
      <c r="AA42">
        <v>30</v>
      </c>
      <c r="AB42">
        <v>16</v>
      </c>
      <c r="AC42">
        <v>8</v>
      </c>
      <c r="AD42">
        <v>24</v>
      </c>
      <c r="AE42">
        <v>7</v>
      </c>
      <c r="AF42">
        <v>22</v>
      </c>
      <c r="AG42">
        <v>5</v>
      </c>
      <c r="AH42">
        <v>17</v>
      </c>
      <c r="AI42">
        <v>20</v>
      </c>
      <c r="AJ42">
        <v>13</v>
      </c>
      <c r="AK42">
        <v>8</v>
      </c>
      <c r="AL42">
        <v>9</v>
      </c>
      <c r="AM42">
        <v>13</v>
      </c>
      <c r="AN42">
        <v>25</v>
      </c>
      <c r="AO42">
        <v>6</v>
      </c>
      <c r="AP42">
        <v>5</v>
      </c>
      <c r="AQ42">
        <v>8</v>
      </c>
      <c r="AR42">
        <v>30</v>
      </c>
      <c r="AS42">
        <v>14</v>
      </c>
      <c r="AT42">
        <v>23</v>
      </c>
      <c r="AU42">
        <v>37</v>
      </c>
      <c r="AV42">
        <v>20</v>
      </c>
      <c r="AW42">
        <v>19</v>
      </c>
      <c r="AX42">
        <v>5</v>
      </c>
      <c r="AY42">
        <v>41</v>
      </c>
      <c r="AZ42">
        <v>27</v>
      </c>
      <c r="BA42">
        <v>27</v>
      </c>
      <c r="BB42">
        <v>13</v>
      </c>
      <c r="BC42">
        <v>34</v>
      </c>
      <c r="BD42">
        <v>70</v>
      </c>
      <c r="BE42">
        <v>26</v>
      </c>
      <c r="BF42">
        <v>19</v>
      </c>
      <c r="BG42">
        <v>0</v>
      </c>
      <c r="BH42">
        <v>10</v>
      </c>
      <c r="BI42">
        <v>30</v>
      </c>
      <c r="BJ42">
        <v>20</v>
      </c>
      <c r="BK42">
        <v>4</v>
      </c>
      <c r="BL42">
        <v>28</v>
      </c>
      <c r="BM42">
        <v>17</v>
      </c>
      <c r="BN42">
        <v>36</v>
      </c>
      <c r="BO42">
        <v>14</v>
      </c>
      <c r="BP42">
        <v>20</v>
      </c>
      <c r="BQ42">
        <v>12</v>
      </c>
      <c r="BR42">
        <v>36</v>
      </c>
      <c r="BS42">
        <v>59</v>
      </c>
      <c r="BU42" s="1">
        <f>AVERAGE(Table9[[#This Row],[1-Jan-21]:[1-Dec-25]])</f>
        <v>29.066666666666666</v>
      </c>
    </row>
    <row r="43" spans="1:73" x14ac:dyDescent="0.55000000000000004">
      <c r="A43">
        <v>42</v>
      </c>
      <c r="B43" t="s">
        <v>71</v>
      </c>
      <c r="C43" t="s">
        <v>72</v>
      </c>
      <c r="D43" t="s">
        <v>73</v>
      </c>
      <c r="E43" t="s">
        <v>99</v>
      </c>
      <c r="F43">
        <v>120590</v>
      </c>
      <c r="G43" t="s">
        <v>141</v>
      </c>
      <c r="H43" t="s">
        <v>76</v>
      </c>
      <c r="I43" t="s">
        <v>80</v>
      </c>
      <c r="J43">
        <v>220</v>
      </c>
      <c r="K43">
        <v>21</v>
      </c>
      <c r="L43">
        <v>16</v>
      </c>
      <c r="M43">
        <v>12</v>
      </c>
      <c r="N43">
        <v>23</v>
      </c>
      <c r="O43">
        <v>19</v>
      </c>
      <c r="P43">
        <v>29</v>
      </c>
      <c r="Q43">
        <v>25</v>
      </c>
      <c r="R43">
        <v>18</v>
      </c>
      <c r="S43">
        <v>18</v>
      </c>
      <c r="T43">
        <v>20</v>
      </c>
      <c r="U43">
        <v>36</v>
      </c>
      <c r="V43">
        <v>41</v>
      </c>
      <c r="W43">
        <v>28</v>
      </c>
      <c r="X43">
        <v>18</v>
      </c>
      <c r="Y43">
        <v>17</v>
      </c>
      <c r="Z43">
        <v>45</v>
      </c>
      <c r="AA43">
        <v>26</v>
      </c>
      <c r="AB43">
        <v>64</v>
      </c>
      <c r="AC43">
        <v>0</v>
      </c>
      <c r="AD43">
        <v>3</v>
      </c>
      <c r="AE43">
        <v>22</v>
      </c>
      <c r="AF43">
        <v>23</v>
      </c>
      <c r="AG43">
        <v>30</v>
      </c>
      <c r="AH43">
        <v>7</v>
      </c>
      <c r="AI43">
        <v>28</v>
      </c>
      <c r="AJ43">
        <v>18</v>
      </c>
      <c r="AK43">
        <v>12</v>
      </c>
      <c r="AL43">
        <v>5</v>
      </c>
      <c r="AM43">
        <v>4</v>
      </c>
      <c r="AN43">
        <v>13</v>
      </c>
      <c r="AO43">
        <v>11</v>
      </c>
      <c r="AP43">
        <v>4</v>
      </c>
      <c r="AQ43">
        <v>26</v>
      </c>
      <c r="AR43">
        <v>20</v>
      </c>
      <c r="AS43">
        <v>17</v>
      </c>
      <c r="AT43">
        <v>21</v>
      </c>
      <c r="AU43">
        <v>15</v>
      </c>
      <c r="AV43">
        <v>6</v>
      </c>
      <c r="AW43">
        <v>10</v>
      </c>
      <c r="AX43">
        <v>24</v>
      </c>
      <c r="AY43">
        <v>14</v>
      </c>
      <c r="AZ43">
        <v>6</v>
      </c>
      <c r="BA43">
        <v>13</v>
      </c>
      <c r="BB43">
        <v>5</v>
      </c>
      <c r="BC43">
        <v>6</v>
      </c>
      <c r="BD43">
        <v>23</v>
      </c>
      <c r="BE43">
        <v>15</v>
      </c>
      <c r="BF43">
        <v>6</v>
      </c>
      <c r="BG43">
        <v>18</v>
      </c>
      <c r="BH43">
        <v>16</v>
      </c>
      <c r="BI43">
        <v>20</v>
      </c>
      <c r="BJ43">
        <v>23</v>
      </c>
      <c r="BK43">
        <v>48</v>
      </c>
      <c r="BL43">
        <v>10</v>
      </c>
      <c r="BM43">
        <v>42</v>
      </c>
      <c r="BN43">
        <v>6</v>
      </c>
      <c r="BO43">
        <v>21</v>
      </c>
      <c r="BP43">
        <v>44</v>
      </c>
      <c r="BQ43">
        <v>16</v>
      </c>
      <c r="BR43">
        <v>27</v>
      </c>
      <c r="BS43">
        <v>59</v>
      </c>
      <c r="BU43" s="1">
        <f>AVERAGE(Table9[[#This Row],[1-Jan-21]:[1-Dec-25]])</f>
        <v>19.566666666666666</v>
      </c>
    </row>
    <row r="44" spans="1:73" x14ac:dyDescent="0.55000000000000004">
      <c r="A44">
        <v>43</v>
      </c>
      <c r="B44" t="s">
        <v>71</v>
      </c>
      <c r="C44" t="s">
        <v>72</v>
      </c>
      <c r="D44" t="s">
        <v>73</v>
      </c>
      <c r="E44" t="s">
        <v>134</v>
      </c>
      <c r="F44">
        <v>108489</v>
      </c>
      <c r="G44" t="s">
        <v>142</v>
      </c>
      <c r="H44" t="s">
        <v>76</v>
      </c>
      <c r="I44" t="s">
        <v>80</v>
      </c>
      <c r="J44">
        <v>534</v>
      </c>
      <c r="K44">
        <v>9</v>
      </c>
      <c r="L44">
        <v>17</v>
      </c>
      <c r="M44">
        <v>54</v>
      </c>
      <c r="N44">
        <v>51</v>
      </c>
      <c r="O44">
        <v>80</v>
      </c>
      <c r="P44">
        <v>75</v>
      </c>
      <c r="Q44">
        <v>25</v>
      </c>
      <c r="R44">
        <v>58</v>
      </c>
      <c r="S44">
        <v>94</v>
      </c>
      <c r="T44">
        <v>60</v>
      </c>
      <c r="U44">
        <v>13</v>
      </c>
      <c r="V44">
        <v>26</v>
      </c>
      <c r="W44">
        <v>29</v>
      </c>
      <c r="X44">
        <v>56</v>
      </c>
      <c r="Y44">
        <v>49</v>
      </c>
      <c r="Z44">
        <v>42</v>
      </c>
      <c r="AA44">
        <v>25</v>
      </c>
      <c r="AB44">
        <v>29</v>
      </c>
      <c r="AC44">
        <v>16</v>
      </c>
      <c r="AD44">
        <v>12</v>
      </c>
      <c r="AE44">
        <v>13</v>
      </c>
      <c r="AF44">
        <v>14</v>
      </c>
      <c r="AG44">
        <v>10</v>
      </c>
      <c r="AH44">
        <v>13</v>
      </c>
      <c r="AI44">
        <v>4</v>
      </c>
      <c r="AJ44">
        <v>11</v>
      </c>
      <c r="AK44">
        <v>25</v>
      </c>
      <c r="AL44">
        <v>21</v>
      </c>
      <c r="AM44">
        <v>53</v>
      </c>
      <c r="AN44">
        <v>50</v>
      </c>
      <c r="AO44">
        <v>28</v>
      </c>
      <c r="AP44">
        <v>38</v>
      </c>
      <c r="AQ44">
        <v>17</v>
      </c>
      <c r="AR44">
        <v>36</v>
      </c>
      <c r="AS44">
        <v>19</v>
      </c>
      <c r="AT44">
        <v>20</v>
      </c>
      <c r="AU44">
        <v>29</v>
      </c>
      <c r="AV44">
        <v>21</v>
      </c>
      <c r="AW44">
        <v>41</v>
      </c>
      <c r="AX44">
        <v>78</v>
      </c>
      <c r="AY44">
        <v>54</v>
      </c>
      <c r="AZ44">
        <v>46</v>
      </c>
      <c r="BA44">
        <v>52</v>
      </c>
      <c r="BB44">
        <v>24</v>
      </c>
      <c r="BC44">
        <v>38</v>
      </c>
      <c r="BD44">
        <v>36</v>
      </c>
      <c r="BE44">
        <v>19</v>
      </c>
      <c r="BF44">
        <v>16</v>
      </c>
      <c r="BG44">
        <v>29</v>
      </c>
      <c r="BH44">
        <v>18</v>
      </c>
      <c r="BI44">
        <v>51</v>
      </c>
      <c r="BJ44">
        <v>51</v>
      </c>
      <c r="BK44">
        <v>30</v>
      </c>
      <c r="BL44">
        <v>19</v>
      </c>
      <c r="BM44">
        <v>18</v>
      </c>
      <c r="BN44">
        <v>21</v>
      </c>
      <c r="BO44">
        <v>19</v>
      </c>
      <c r="BP44">
        <v>43</v>
      </c>
      <c r="BQ44">
        <v>27</v>
      </c>
      <c r="BR44">
        <v>0</v>
      </c>
      <c r="BS44">
        <v>59</v>
      </c>
      <c r="BU44" s="1">
        <f>AVERAGE(Table9[[#This Row],[1-Jan-21]:[1-Dec-25]])</f>
        <v>32.866666666666667</v>
      </c>
    </row>
    <row r="45" spans="1:73" x14ac:dyDescent="0.55000000000000004">
      <c r="A45">
        <v>44</v>
      </c>
      <c r="B45" t="s">
        <v>71</v>
      </c>
      <c r="C45" t="s">
        <v>72</v>
      </c>
      <c r="D45" t="s">
        <v>73</v>
      </c>
      <c r="E45" t="s">
        <v>99</v>
      </c>
      <c r="F45">
        <v>108126</v>
      </c>
      <c r="G45" t="s">
        <v>143</v>
      </c>
      <c r="H45" t="s">
        <v>76</v>
      </c>
      <c r="I45" t="s">
        <v>80</v>
      </c>
      <c r="J45">
        <v>169.93</v>
      </c>
      <c r="K45">
        <v>136</v>
      </c>
      <c r="L45">
        <v>97</v>
      </c>
      <c r="M45">
        <v>65</v>
      </c>
      <c r="N45">
        <v>78</v>
      </c>
      <c r="O45">
        <v>73</v>
      </c>
      <c r="P45">
        <v>92</v>
      </c>
      <c r="Q45">
        <v>55</v>
      </c>
      <c r="R45">
        <v>55</v>
      </c>
      <c r="S45">
        <v>72</v>
      </c>
      <c r="T45">
        <v>67</v>
      </c>
      <c r="U45">
        <v>82</v>
      </c>
      <c r="V45">
        <v>65</v>
      </c>
      <c r="W45">
        <v>93</v>
      </c>
      <c r="X45">
        <v>107</v>
      </c>
      <c r="Y45">
        <v>52</v>
      </c>
      <c r="Z45">
        <v>74</v>
      </c>
      <c r="AA45">
        <v>109</v>
      </c>
      <c r="AB45">
        <v>114</v>
      </c>
      <c r="AC45">
        <v>48</v>
      </c>
      <c r="AD45">
        <v>70</v>
      </c>
      <c r="AE45">
        <v>34</v>
      </c>
      <c r="AF45">
        <v>29</v>
      </c>
      <c r="AG45">
        <v>62</v>
      </c>
      <c r="AH45">
        <v>65</v>
      </c>
      <c r="AI45">
        <v>83</v>
      </c>
      <c r="AJ45">
        <v>84</v>
      </c>
      <c r="AK45">
        <v>70</v>
      </c>
      <c r="AL45">
        <v>25</v>
      </c>
      <c r="AM45">
        <v>73</v>
      </c>
      <c r="AN45">
        <v>102</v>
      </c>
      <c r="AO45">
        <v>43</v>
      </c>
      <c r="AP45">
        <v>101</v>
      </c>
      <c r="AQ45">
        <v>131</v>
      </c>
      <c r="AR45">
        <v>51</v>
      </c>
      <c r="AS45">
        <v>41</v>
      </c>
      <c r="AT45">
        <v>53</v>
      </c>
      <c r="AU45">
        <v>60</v>
      </c>
      <c r="AV45">
        <v>80</v>
      </c>
      <c r="AW45">
        <v>82</v>
      </c>
      <c r="AX45">
        <v>17</v>
      </c>
      <c r="AY45">
        <v>105</v>
      </c>
      <c r="AZ45">
        <v>21</v>
      </c>
      <c r="BA45">
        <v>25</v>
      </c>
      <c r="BB45">
        <v>93</v>
      </c>
      <c r="BC45">
        <v>131</v>
      </c>
      <c r="BD45">
        <v>29</v>
      </c>
      <c r="BE45">
        <v>41</v>
      </c>
      <c r="BF45">
        <v>90</v>
      </c>
      <c r="BG45">
        <v>44</v>
      </c>
      <c r="BH45">
        <v>45</v>
      </c>
      <c r="BI45">
        <v>53</v>
      </c>
      <c r="BJ45">
        <v>67</v>
      </c>
      <c r="BK45">
        <v>51</v>
      </c>
      <c r="BL45">
        <v>35</v>
      </c>
      <c r="BM45">
        <v>78</v>
      </c>
      <c r="BN45">
        <v>83</v>
      </c>
      <c r="BO45">
        <v>40</v>
      </c>
      <c r="BP45">
        <v>56</v>
      </c>
      <c r="BQ45">
        <v>26</v>
      </c>
      <c r="BR45">
        <v>86</v>
      </c>
      <c r="BS45">
        <v>60</v>
      </c>
      <c r="BU45" s="1">
        <f>AVERAGE(Table9[[#This Row],[1-Jan-21]:[1-Dec-25]])</f>
        <v>68.150000000000006</v>
      </c>
    </row>
    <row r="46" spans="1:73" x14ac:dyDescent="0.55000000000000004">
      <c r="A46">
        <v>45</v>
      </c>
      <c r="B46" t="s">
        <v>71</v>
      </c>
      <c r="C46" t="s">
        <v>72</v>
      </c>
      <c r="D46" t="s">
        <v>73</v>
      </c>
      <c r="E46" t="s">
        <v>73</v>
      </c>
      <c r="F46">
        <v>119614</v>
      </c>
      <c r="G46" t="s">
        <v>144</v>
      </c>
      <c r="H46" t="s">
        <v>76</v>
      </c>
      <c r="I46" t="s">
        <v>80</v>
      </c>
      <c r="J46">
        <v>3241.9</v>
      </c>
      <c r="K46">
        <v>0</v>
      </c>
      <c r="L46">
        <v>2</v>
      </c>
      <c r="M46">
        <v>7</v>
      </c>
      <c r="N46">
        <v>3</v>
      </c>
      <c r="O46">
        <v>9</v>
      </c>
      <c r="P46">
        <v>14</v>
      </c>
      <c r="Q46">
        <v>6</v>
      </c>
      <c r="R46">
        <v>10</v>
      </c>
      <c r="S46">
        <v>9</v>
      </c>
      <c r="T46">
        <v>13</v>
      </c>
      <c r="U46">
        <v>2</v>
      </c>
      <c r="V46">
        <v>7</v>
      </c>
      <c r="W46">
        <v>0</v>
      </c>
      <c r="X46">
        <v>2</v>
      </c>
      <c r="Y46">
        <v>14</v>
      </c>
      <c r="Z46">
        <v>11</v>
      </c>
      <c r="AA46">
        <v>20</v>
      </c>
      <c r="AB46">
        <v>18</v>
      </c>
      <c r="AC46">
        <v>10</v>
      </c>
      <c r="AD46">
        <v>9</v>
      </c>
      <c r="AE46">
        <v>4</v>
      </c>
      <c r="AF46">
        <v>9</v>
      </c>
      <c r="AG46">
        <v>9</v>
      </c>
      <c r="AH46">
        <v>6</v>
      </c>
      <c r="AI46">
        <v>4</v>
      </c>
      <c r="AJ46">
        <v>6</v>
      </c>
      <c r="AK46">
        <v>11</v>
      </c>
      <c r="AL46">
        <v>9</v>
      </c>
      <c r="AM46">
        <v>8</v>
      </c>
      <c r="AN46">
        <v>5</v>
      </c>
      <c r="AO46">
        <v>7</v>
      </c>
      <c r="AP46">
        <v>4</v>
      </c>
      <c r="AQ46">
        <v>11</v>
      </c>
      <c r="AR46">
        <v>8</v>
      </c>
      <c r="AS46">
        <v>3</v>
      </c>
      <c r="AT46">
        <v>4</v>
      </c>
      <c r="AU46">
        <v>2</v>
      </c>
      <c r="AV46">
        <v>8</v>
      </c>
      <c r="AW46">
        <v>12</v>
      </c>
      <c r="AX46">
        <v>3</v>
      </c>
      <c r="AY46">
        <v>14</v>
      </c>
      <c r="AZ46">
        <v>7</v>
      </c>
      <c r="BA46">
        <v>2</v>
      </c>
      <c r="BB46">
        <v>3</v>
      </c>
      <c r="BC46">
        <v>6</v>
      </c>
      <c r="BD46">
        <v>0</v>
      </c>
      <c r="BE46">
        <v>8</v>
      </c>
      <c r="BF46">
        <v>8</v>
      </c>
      <c r="BG46">
        <v>6</v>
      </c>
      <c r="BH46">
        <v>2</v>
      </c>
      <c r="BI46">
        <v>8</v>
      </c>
      <c r="BJ46">
        <v>8</v>
      </c>
      <c r="BK46">
        <v>6</v>
      </c>
      <c r="BL46">
        <v>6</v>
      </c>
      <c r="BM46">
        <v>6</v>
      </c>
      <c r="BN46">
        <v>0</v>
      </c>
      <c r="BO46">
        <v>2</v>
      </c>
      <c r="BP46">
        <v>13</v>
      </c>
      <c r="BQ46">
        <v>6</v>
      </c>
      <c r="BR46">
        <v>4</v>
      </c>
      <c r="BS46">
        <v>56</v>
      </c>
      <c r="BU46" s="1">
        <f>AVERAGE(Table9[[#This Row],[1-Jan-21]:[1-Dec-25]])</f>
        <v>6.9</v>
      </c>
    </row>
    <row r="47" spans="1:73" x14ac:dyDescent="0.55000000000000004">
      <c r="A47">
        <v>46</v>
      </c>
      <c r="B47" t="s">
        <v>71</v>
      </c>
      <c r="C47" t="s">
        <v>72</v>
      </c>
      <c r="D47" t="s">
        <v>73</v>
      </c>
      <c r="E47" t="s">
        <v>145</v>
      </c>
      <c r="F47">
        <v>110043</v>
      </c>
      <c r="G47" t="s">
        <v>146</v>
      </c>
      <c r="H47" t="s">
        <v>76</v>
      </c>
      <c r="I47" t="s">
        <v>80</v>
      </c>
      <c r="J47">
        <v>18.82</v>
      </c>
      <c r="K47">
        <v>0</v>
      </c>
      <c r="L47">
        <v>8</v>
      </c>
      <c r="M47">
        <v>11</v>
      </c>
      <c r="N47">
        <v>10</v>
      </c>
      <c r="O47">
        <v>20</v>
      </c>
      <c r="P47">
        <v>5</v>
      </c>
      <c r="Q47">
        <v>0</v>
      </c>
      <c r="R47">
        <v>6</v>
      </c>
      <c r="S47">
        <v>26</v>
      </c>
      <c r="T47">
        <v>35</v>
      </c>
      <c r="U47">
        <v>31</v>
      </c>
      <c r="V47">
        <v>14</v>
      </c>
      <c r="W47">
        <v>4</v>
      </c>
      <c r="X47">
        <v>35</v>
      </c>
      <c r="Y47">
        <v>0</v>
      </c>
      <c r="Z47">
        <v>25</v>
      </c>
      <c r="AA47">
        <v>5</v>
      </c>
      <c r="AB47">
        <v>0</v>
      </c>
      <c r="AC47">
        <v>9</v>
      </c>
      <c r="AD47">
        <v>0</v>
      </c>
      <c r="AE47">
        <v>0</v>
      </c>
      <c r="AF47">
        <v>4</v>
      </c>
      <c r="AG47">
        <v>0</v>
      </c>
      <c r="AH47">
        <v>6</v>
      </c>
      <c r="AI47">
        <v>0</v>
      </c>
      <c r="AJ47">
        <v>20</v>
      </c>
      <c r="AK47">
        <v>6</v>
      </c>
      <c r="AL47">
        <v>0</v>
      </c>
      <c r="AM47">
        <v>0</v>
      </c>
      <c r="AN47">
        <v>12</v>
      </c>
      <c r="AO47">
        <v>10</v>
      </c>
      <c r="AP47">
        <v>12</v>
      </c>
      <c r="AQ47">
        <v>0</v>
      </c>
      <c r="AR47">
        <v>2</v>
      </c>
      <c r="AS47">
        <v>10</v>
      </c>
      <c r="AT47">
        <v>0</v>
      </c>
      <c r="AU47">
        <v>5</v>
      </c>
      <c r="AV47">
        <v>10</v>
      </c>
      <c r="AW47">
        <v>119</v>
      </c>
      <c r="AX47">
        <v>1</v>
      </c>
      <c r="AY47">
        <v>5</v>
      </c>
      <c r="AZ47">
        <v>0</v>
      </c>
      <c r="BA47">
        <v>4</v>
      </c>
      <c r="BB47">
        <v>4</v>
      </c>
      <c r="BC47">
        <v>3</v>
      </c>
      <c r="BD47">
        <v>10</v>
      </c>
      <c r="BE47">
        <v>28</v>
      </c>
      <c r="BF47">
        <v>6</v>
      </c>
      <c r="BG47">
        <v>18</v>
      </c>
      <c r="BH47">
        <v>41</v>
      </c>
      <c r="BI47">
        <v>14</v>
      </c>
      <c r="BJ47">
        <v>0</v>
      </c>
      <c r="BK47">
        <v>10</v>
      </c>
      <c r="BL47">
        <v>0</v>
      </c>
      <c r="BM47">
        <v>8</v>
      </c>
      <c r="BN47">
        <v>0</v>
      </c>
      <c r="BO47">
        <v>0</v>
      </c>
      <c r="BP47">
        <v>8</v>
      </c>
      <c r="BQ47">
        <v>10</v>
      </c>
      <c r="BR47">
        <v>0</v>
      </c>
      <c r="BS47">
        <v>42</v>
      </c>
      <c r="BU47" s="1">
        <f>AVERAGE(Table9[[#This Row],[1-Jan-21]:[1-Dec-25]])</f>
        <v>10.5</v>
      </c>
    </row>
    <row r="48" spans="1:73" x14ac:dyDescent="0.55000000000000004">
      <c r="A48">
        <v>47</v>
      </c>
      <c r="B48" t="s">
        <v>71</v>
      </c>
      <c r="C48" t="s">
        <v>72</v>
      </c>
      <c r="D48" t="s">
        <v>73</v>
      </c>
      <c r="E48" t="s">
        <v>147</v>
      </c>
      <c r="F48">
        <v>110128</v>
      </c>
      <c r="G48" t="s">
        <v>148</v>
      </c>
      <c r="H48" t="s">
        <v>76</v>
      </c>
      <c r="I48" t="s">
        <v>77</v>
      </c>
      <c r="J48">
        <v>119.57</v>
      </c>
      <c r="K48">
        <v>0</v>
      </c>
      <c r="L48">
        <v>1.5</v>
      </c>
      <c r="M48">
        <v>4.5</v>
      </c>
      <c r="N48">
        <v>0</v>
      </c>
      <c r="O48">
        <v>14</v>
      </c>
      <c r="P48">
        <v>0</v>
      </c>
      <c r="Q48">
        <v>0</v>
      </c>
      <c r="R48">
        <v>10</v>
      </c>
      <c r="S48">
        <v>22.5</v>
      </c>
      <c r="T48">
        <v>5</v>
      </c>
      <c r="U48">
        <v>19.760000000000002</v>
      </c>
      <c r="V48">
        <v>16</v>
      </c>
      <c r="W48">
        <v>0</v>
      </c>
      <c r="X48">
        <v>46</v>
      </c>
      <c r="Y48">
        <v>5</v>
      </c>
      <c r="Z48">
        <v>45.5</v>
      </c>
      <c r="AA48">
        <v>14</v>
      </c>
      <c r="AB48">
        <v>68</v>
      </c>
      <c r="AC48">
        <v>0</v>
      </c>
      <c r="AD48">
        <v>0</v>
      </c>
      <c r="AE48">
        <v>2</v>
      </c>
      <c r="AF48">
        <v>4</v>
      </c>
      <c r="AG48">
        <v>47</v>
      </c>
      <c r="AH48">
        <v>72.856999999999999</v>
      </c>
      <c r="AI48">
        <v>0</v>
      </c>
      <c r="AJ48">
        <v>5</v>
      </c>
      <c r="AK48">
        <v>11</v>
      </c>
      <c r="AL48">
        <v>10.5</v>
      </c>
      <c r="AM48">
        <v>6.54</v>
      </c>
      <c r="AN48">
        <v>0</v>
      </c>
      <c r="AO48">
        <v>11</v>
      </c>
      <c r="AP48">
        <v>18</v>
      </c>
      <c r="AQ48">
        <v>10</v>
      </c>
      <c r="AR48">
        <v>0</v>
      </c>
      <c r="AS48">
        <v>3.5</v>
      </c>
      <c r="AT48">
        <v>37.979999999999997</v>
      </c>
      <c r="AU48">
        <v>32</v>
      </c>
      <c r="AV48">
        <v>4</v>
      </c>
      <c r="AW48">
        <v>8</v>
      </c>
      <c r="AX48">
        <v>29</v>
      </c>
      <c r="AY48">
        <v>21</v>
      </c>
      <c r="AZ48">
        <v>0</v>
      </c>
      <c r="BA48">
        <v>22</v>
      </c>
      <c r="BB48">
        <v>0</v>
      </c>
      <c r="BC48">
        <v>37.595999999999997</v>
      </c>
      <c r="BD48">
        <v>31</v>
      </c>
      <c r="BE48">
        <v>32</v>
      </c>
      <c r="BF48">
        <v>8</v>
      </c>
      <c r="BG48">
        <v>15</v>
      </c>
      <c r="BH48">
        <v>0</v>
      </c>
      <c r="BI48">
        <v>0</v>
      </c>
      <c r="BJ48">
        <v>10</v>
      </c>
      <c r="BK48">
        <v>21.3</v>
      </c>
      <c r="BL48">
        <v>40</v>
      </c>
      <c r="BM48">
        <v>10</v>
      </c>
      <c r="BN48">
        <v>20</v>
      </c>
      <c r="BO48">
        <v>23.3</v>
      </c>
      <c r="BP48">
        <v>0</v>
      </c>
      <c r="BQ48">
        <v>0</v>
      </c>
      <c r="BR48">
        <v>0</v>
      </c>
      <c r="BS48">
        <v>43</v>
      </c>
      <c r="BU48" s="1">
        <f>AVERAGE(Table9[[#This Row],[1-Jan-21]:[1-Dec-25]])</f>
        <v>14.588883333333332</v>
      </c>
    </row>
    <row r="49" spans="1:73" x14ac:dyDescent="0.55000000000000004">
      <c r="A49">
        <v>48</v>
      </c>
      <c r="B49" t="s">
        <v>71</v>
      </c>
      <c r="C49" t="s">
        <v>72</v>
      </c>
      <c r="D49" t="s">
        <v>73</v>
      </c>
      <c r="E49" t="s">
        <v>149</v>
      </c>
      <c r="F49">
        <v>110542</v>
      </c>
      <c r="G49" t="s">
        <v>150</v>
      </c>
      <c r="H49" t="s">
        <v>76</v>
      </c>
      <c r="I49" t="s">
        <v>80</v>
      </c>
      <c r="J49">
        <v>3473.64</v>
      </c>
      <c r="K49">
        <v>0</v>
      </c>
      <c r="L49">
        <v>7</v>
      </c>
      <c r="M49">
        <v>5</v>
      </c>
      <c r="N49">
        <v>6</v>
      </c>
      <c r="O49">
        <v>5</v>
      </c>
      <c r="P49">
        <v>4</v>
      </c>
      <c r="Q49">
        <v>2</v>
      </c>
      <c r="R49">
        <v>0</v>
      </c>
      <c r="S49">
        <v>6</v>
      </c>
      <c r="T49">
        <v>2</v>
      </c>
      <c r="U49">
        <v>1</v>
      </c>
      <c r="V49">
        <v>0</v>
      </c>
      <c r="W49">
        <v>5</v>
      </c>
      <c r="X49">
        <v>3</v>
      </c>
      <c r="Y49">
        <v>2</v>
      </c>
      <c r="Z49">
        <v>2</v>
      </c>
      <c r="AA49">
        <v>2</v>
      </c>
      <c r="AB49">
        <v>2</v>
      </c>
      <c r="AC49">
        <v>2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2</v>
      </c>
      <c r="AK49">
        <v>1</v>
      </c>
      <c r="AL49">
        <v>0</v>
      </c>
      <c r="AM49">
        <v>3</v>
      </c>
      <c r="AN49">
        <v>0</v>
      </c>
      <c r="AO49">
        <v>2</v>
      </c>
      <c r="AP49">
        <v>8</v>
      </c>
      <c r="AQ49">
        <v>2</v>
      </c>
      <c r="AR49">
        <v>0</v>
      </c>
      <c r="AS49">
        <v>0</v>
      </c>
      <c r="AT49">
        <v>1</v>
      </c>
      <c r="AU49">
        <v>4</v>
      </c>
      <c r="AV49">
        <v>2</v>
      </c>
      <c r="AW49">
        <v>1</v>
      </c>
      <c r="AX49">
        <v>2</v>
      </c>
      <c r="AY49">
        <v>3</v>
      </c>
      <c r="AZ49">
        <v>2</v>
      </c>
      <c r="BA49">
        <v>1</v>
      </c>
      <c r="BB49">
        <v>0</v>
      </c>
      <c r="BC49">
        <v>3</v>
      </c>
      <c r="BD49">
        <v>3</v>
      </c>
      <c r="BE49">
        <v>0</v>
      </c>
      <c r="BF49">
        <v>1</v>
      </c>
      <c r="BG49">
        <v>2</v>
      </c>
      <c r="BH49">
        <v>1</v>
      </c>
      <c r="BI49">
        <v>3</v>
      </c>
      <c r="BJ49">
        <v>4</v>
      </c>
      <c r="BK49">
        <v>2</v>
      </c>
      <c r="BL49">
        <v>0</v>
      </c>
      <c r="BM49">
        <v>4</v>
      </c>
      <c r="BN49">
        <v>1</v>
      </c>
      <c r="BO49">
        <v>1</v>
      </c>
      <c r="BP49">
        <v>0</v>
      </c>
      <c r="BQ49">
        <v>0</v>
      </c>
      <c r="BR49">
        <v>1</v>
      </c>
      <c r="BS49">
        <v>44</v>
      </c>
      <c r="BU49" s="1">
        <f>AVERAGE(Table9[[#This Row],[1-Jan-21]:[1-Dec-25]])</f>
        <v>1.9666666666666666</v>
      </c>
    </row>
    <row r="50" spans="1:73" x14ac:dyDescent="0.55000000000000004">
      <c r="A50">
        <v>49</v>
      </c>
      <c r="B50" t="s">
        <v>71</v>
      </c>
      <c r="C50" t="s">
        <v>72</v>
      </c>
      <c r="D50" t="s">
        <v>73</v>
      </c>
      <c r="E50" t="s">
        <v>151</v>
      </c>
      <c r="F50">
        <v>118542</v>
      </c>
      <c r="G50" t="s">
        <v>152</v>
      </c>
      <c r="H50" t="s">
        <v>76</v>
      </c>
      <c r="I50" t="s">
        <v>80</v>
      </c>
      <c r="J50">
        <v>1018.37</v>
      </c>
      <c r="K50">
        <v>0</v>
      </c>
      <c r="L50">
        <v>0</v>
      </c>
      <c r="M50">
        <v>2</v>
      </c>
      <c r="N50">
        <v>0</v>
      </c>
      <c r="O50">
        <v>0</v>
      </c>
      <c r="P50">
        <v>4</v>
      </c>
      <c r="Q50">
        <v>2</v>
      </c>
      <c r="R50">
        <v>2</v>
      </c>
      <c r="S50">
        <v>8</v>
      </c>
      <c r="T50">
        <v>2</v>
      </c>
      <c r="U50">
        <v>2</v>
      </c>
      <c r="V50">
        <v>2</v>
      </c>
      <c r="W50">
        <v>2</v>
      </c>
      <c r="X50">
        <v>4</v>
      </c>
      <c r="Y50">
        <v>4</v>
      </c>
      <c r="Z50">
        <v>4</v>
      </c>
      <c r="AA50">
        <v>4</v>
      </c>
      <c r="AB50">
        <v>6</v>
      </c>
      <c r="AC50">
        <v>0</v>
      </c>
      <c r="AD50">
        <v>0</v>
      </c>
      <c r="AE50">
        <v>4</v>
      </c>
      <c r="AF50">
        <v>4</v>
      </c>
      <c r="AG50">
        <v>2</v>
      </c>
      <c r="AH50">
        <v>0</v>
      </c>
      <c r="AI50">
        <v>3</v>
      </c>
      <c r="AJ50">
        <v>0</v>
      </c>
      <c r="AK50">
        <v>0</v>
      </c>
      <c r="AL50">
        <v>2</v>
      </c>
      <c r="AM50">
        <v>0</v>
      </c>
      <c r="AN50">
        <v>4</v>
      </c>
      <c r="AO50">
        <v>2</v>
      </c>
      <c r="AP50">
        <v>2</v>
      </c>
      <c r="AQ50">
        <v>2</v>
      </c>
      <c r="AR50">
        <v>2</v>
      </c>
      <c r="AS50">
        <v>4</v>
      </c>
      <c r="AT50">
        <v>2</v>
      </c>
      <c r="AU50">
        <v>0</v>
      </c>
      <c r="AV50">
        <v>6</v>
      </c>
      <c r="AW50">
        <v>4</v>
      </c>
      <c r="AX50">
        <v>2</v>
      </c>
      <c r="AY50">
        <v>3</v>
      </c>
      <c r="AZ50">
        <v>2</v>
      </c>
      <c r="BA50">
        <v>6</v>
      </c>
      <c r="BB50">
        <v>4</v>
      </c>
      <c r="BC50">
        <v>2</v>
      </c>
      <c r="BD50">
        <v>2</v>
      </c>
      <c r="BE50">
        <v>0</v>
      </c>
      <c r="BF50">
        <v>4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2</v>
      </c>
      <c r="BO50">
        <v>4</v>
      </c>
      <c r="BP50">
        <v>0</v>
      </c>
      <c r="BQ50">
        <v>1</v>
      </c>
      <c r="BR50">
        <v>0</v>
      </c>
      <c r="BS50">
        <v>40</v>
      </c>
      <c r="BU50" s="1">
        <f>AVERAGE(Table9[[#This Row],[1-Jan-21]:[1-Dec-25]])</f>
        <v>2.0833333333333335</v>
      </c>
    </row>
    <row r="51" spans="1:73" x14ac:dyDescent="0.55000000000000004">
      <c r="A51">
        <v>50</v>
      </c>
      <c r="B51" t="s">
        <v>71</v>
      </c>
      <c r="C51" t="s">
        <v>72</v>
      </c>
      <c r="D51" t="s">
        <v>73</v>
      </c>
      <c r="E51" t="s">
        <v>99</v>
      </c>
      <c r="F51">
        <v>108307</v>
      </c>
      <c r="G51" t="s">
        <v>153</v>
      </c>
      <c r="H51" t="s">
        <v>76</v>
      </c>
      <c r="I51" t="s">
        <v>80</v>
      </c>
      <c r="J51">
        <v>671.56</v>
      </c>
      <c r="K51">
        <v>0</v>
      </c>
      <c r="L51">
        <v>0</v>
      </c>
      <c r="M51">
        <v>0</v>
      </c>
      <c r="N51">
        <v>4</v>
      </c>
      <c r="O51">
        <v>5</v>
      </c>
      <c r="P51">
        <v>22</v>
      </c>
      <c r="Q51">
        <v>2</v>
      </c>
      <c r="R51">
        <v>3</v>
      </c>
      <c r="S51">
        <v>4</v>
      </c>
      <c r="T51">
        <v>8</v>
      </c>
      <c r="U51">
        <v>10</v>
      </c>
      <c r="V51">
        <v>3</v>
      </c>
      <c r="W51">
        <v>3</v>
      </c>
      <c r="X51">
        <v>5</v>
      </c>
      <c r="Y51">
        <v>9</v>
      </c>
      <c r="Z51">
        <v>7</v>
      </c>
      <c r="AA51">
        <v>9</v>
      </c>
      <c r="AB51">
        <v>7</v>
      </c>
      <c r="AC51">
        <v>2</v>
      </c>
      <c r="AD51">
        <v>4</v>
      </c>
      <c r="AE51">
        <v>3</v>
      </c>
      <c r="AF51">
        <v>5</v>
      </c>
      <c r="AG51">
        <v>14</v>
      </c>
      <c r="AH51">
        <v>7</v>
      </c>
      <c r="AI51">
        <v>5</v>
      </c>
      <c r="AJ51">
        <v>4</v>
      </c>
      <c r="AK51">
        <v>6</v>
      </c>
      <c r="AL51">
        <v>4</v>
      </c>
      <c r="AM51">
        <v>2</v>
      </c>
      <c r="AN51">
        <v>4</v>
      </c>
      <c r="AO51">
        <v>3</v>
      </c>
      <c r="AP51">
        <v>8</v>
      </c>
      <c r="AQ51">
        <v>6</v>
      </c>
      <c r="AR51">
        <v>5</v>
      </c>
      <c r="AS51">
        <v>6</v>
      </c>
      <c r="AT51">
        <v>3</v>
      </c>
      <c r="AU51">
        <v>0</v>
      </c>
      <c r="AV51">
        <v>1</v>
      </c>
      <c r="AW51">
        <v>1</v>
      </c>
      <c r="AX51">
        <v>2</v>
      </c>
      <c r="AY51">
        <v>3</v>
      </c>
      <c r="AZ51">
        <v>6</v>
      </c>
      <c r="BA51">
        <v>0</v>
      </c>
      <c r="BB51">
        <v>6</v>
      </c>
      <c r="BC51">
        <v>4</v>
      </c>
      <c r="BD51">
        <v>1</v>
      </c>
      <c r="BE51">
        <v>5</v>
      </c>
      <c r="BF51">
        <v>2</v>
      </c>
      <c r="BG51">
        <v>1</v>
      </c>
      <c r="BH51">
        <v>10</v>
      </c>
      <c r="BI51">
        <v>7</v>
      </c>
      <c r="BJ51">
        <v>2</v>
      </c>
      <c r="BK51">
        <v>2</v>
      </c>
      <c r="BL51">
        <v>5</v>
      </c>
      <c r="BM51">
        <v>9</v>
      </c>
      <c r="BN51">
        <v>8</v>
      </c>
      <c r="BO51">
        <v>8</v>
      </c>
      <c r="BP51">
        <v>4</v>
      </c>
      <c r="BQ51">
        <v>6</v>
      </c>
      <c r="BR51">
        <v>11</v>
      </c>
      <c r="BS51">
        <v>55</v>
      </c>
      <c r="BU51" s="1">
        <f>AVERAGE(Table9[[#This Row],[1-Jan-21]:[1-Dec-25]])</f>
        <v>4.9333333333333336</v>
      </c>
    </row>
    <row r="52" spans="1:73" x14ac:dyDescent="0.55000000000000004">
      <c r="A52">
        <v>51</v>
      </c>
      <c r="B52" t="s">
        <v>71</v>
      </c>
      <c r="C52" t="s">
        <v>72</v>
      </c>
      <c r="D52" t="s">
        <v>73</v>
      </c>
      <c r="E52" t="s">
        <v>87</v>
      </c>
      <c r="F52">
        <v>221616</v>
      </c>
      <c r="G52" t="s">
        <v>154</v>
      </c>
      <c r="H52" t="s">
        <v>76</v>
      </c>
      <c r="I52" t="s">
        <v>80</v>
      </c>
      <c r="J52">
        <v>21.69</v>
      </c>
      <c r="K52">
        <v>0</v>
      </c>
      <c r="L52">
        <v>0</v>
      </c>
      <c r="M52">
        <v>0</v>
      </c>
      <c r="N52">
        <v>0</v>
      </c>
      <c r="O52">
        <v>0</v>
      </c>
      <c r="P52">
        <v>45</v>
      </c>
      <c r="Q52">
        <v>65</v>
      </c>
      <c r="R52">
        <v>40</v>
      </c>
      <c r="S52">
        <v>90</v>
      </c>
      <c r="T52">
        <v>35</v>
      </c>
      <c r="U52">
        <v>0</v>
      </c>
      <c r="V52">
        <v>20</v>
      </c>
      <c r="W52">
        <v>30</v>
      </c>
      <c r="X52">
        <v>10</v>
      </c>
      <c r="Y52">
        <v>33</v>
      </c>
      <c r="Z52">
        <v>10</v>
      </c>
      <c r="AA52">
        <v>20</v>
      </c>
      <c r="AB52">
        <v>150</v>
      </c>
      <c r="AC52">
        <v>0</v>
      </c>
      <c r="AD52">
        <v>66</v>
      </c>
      <c r="AE52">
        <v>75</v>
      </c>
      <c r="AF52">
        <v>40</v>
      </c>
      <c r="AG52">
        <v>8</v>
      </c>
      <c r="AH52">
        <v>50</v>
      </c>
      <c r="AI52">
        <v>50</v>
      </c>
      <c r="AJ52">
        <v>0</v>
      </c>
      <c r="AK52">
        <v>60</v>
      </c>
      <c r="AL52">
        <v>2</v>
      </c>
      <c r="AM52">
        <v>134</v>
      </c>
      <c r="AN52">
        <v>20</v>
      </c>
      <c r="AO52">
        <v>60</v>
      </c>
      <c r="AP52">
        <v>4</v>
      </c>
      <c r="AQ52">
        <v>50</v>
      </c>
      <c r="AR52">
        <v>12</v>
      </c>
      <c r="AS52">
        <v>24</v>
      </c>
      <c r="AT52">
        <v>30</v>
      </c>
      <c r="AU52">
        <v>33</v>
      </c>
      <c r="AV52">
        <v>73</v>
      </c>
      <c r="AW52">
        <v>100</v>
      </c>
      <c r="AX52">
        <v>126</v>
      </c>
      <c r="AY52">
        <v>85</v>
      </c>
      <c r="AZ52">
        <v>10</v>
      </c>
      <c r="BA52">
        <v>0</v>
      </c>
      <c r="BB52">
        <v>4</v>
      </c>
      <c r="BC52">
        <v>155</v>
      </c>
      <c r="BD52">
        <v>100</v>
      </c>
      <c r="BE52">
        <v>130</v>
      </c>
      <c r="BF52">
        <v>170</v>
      </c>
      <c r="BG52">
        <v>255</v>
      </c>
      <c r="BH52">
        <v>253</v>
      </c>
      <c r="BI52">
        <v>60</v>
      </c>
      <c r="BJ52">
        <v>0</v>
      </c>
      <c r="BK52">
        <v>80</v>
      </c>
      <c r="BL52">
        <v>100</v>
      </c>
      <c r="BM52">
        <v>95</v>
      </c>
      <c r="BN52">
        <v>4</v>
      </c>
      <c r="BO52">
        <v>40</v>
      </c>
      <c r="BP52">
        <v>65</v>
      </c>
      <c r="BQ52">
        <v>115</v>
      </c>
      <c r="BR52">
        <v>46</v>
      </c>
      <c r="BS52">
        <v>50</v>
      </c>
      <c r="BU52" s="1">
        <f>AVERAGE(Table9[[#This Row],[1-Jan-21]:[1-Dec-25]])</f>
        <v>55.533333333333331</v>
      </c>
    </row>
    <row r="53" spans="1:73" x14ac:dyDescent="0.55000000000000004">
      <c r="A53">
        <v>52</v>
      </c>
      <c r="B53" t="s">
        <v>71</v>
      </c>
      <c r="C53" t="s">
        <v>72</v>
      </c>
      <c r="D53" t="s">
        <v>73</v>
      </c>
      <c r="E53" t="s">
        <v>151</v>
      </c>
      <c r="F53">
        <v>120583</v>
      </c>
      <c r="G53" t="s">
        <v>155</v>
      </c>
      <c r="H53" t="s">
        <v>76</v>
      </c>
      <c r="I53" t="s">
        <v>80</v>
      </c>
      <c r="J53">
        <v>770.07</v>
      </c>
      <c r="K53">
        <v>4</v>
      </c>
      <c r="L53">
        <v>35</v>
      </c>
      <c r="M53">
        <v>28</v>
      </c>
      <c r="N53">
        <v>8</v>
      </c>
      <c r="O53">
        <v>18</v>
      </c>
      <c r="P53">
        <v>4</v>
      </c>
      <c r="Q53">
        <v>0</v>
      </c>
      <c r="R53">
        <v>4</v>
      </c>
      <c r="S53">
        <v>4</v>
      </c>
      <c r="T53">
        <v>70</v>
      </c>
      <c r="U53">
        <v>28</v>
      </c>
      <c r="V53">
        <v>60</v>
      </c>
      <c r="W53">
        <v>195</v>
      </c>
      <c r="X53">
        <v>130</v>
      </c>
      <c r="Y53">
        <v>20</v>
      </c>
      <c r="Z53">
        <v>30</v>
      </c>
      <c r="AA53">
        <v>38</v>
      </c>
      <c r="AB53">
        <v>12</v>
      </c>
      <c r="AC53">
        <v>106</v>
      </c>
      <c r="AD53">
        <v>42</v>
      </c>
      <c r="AE53">
        <v>23</v>
      </c>
      <c r="AF53">
        <v>50</v>
      </c>
      <c r="AG53">
        <v>88</v>
      </c>
      <c r="AH53">
        <v>65</v>
      </c>
      <c r="AI53">
        <v>26</v>
      </c>
      <c r="AJ53">
        <v>64</v>
      </c>
      <c r="AK53">
        <v>60</v>
      </c>
      <c r="AL53">
        <v>8</v>
      </c>
      <c r="AM53">
        <v>52</v>
      </c>
      <c r="AN53">
        <v>54</v>
      </c>
      <c r="AO53">
        <v>44</v>
      </c>
      <c r="AP53">
        <v>46</v>
      </c>
      <c r="AQ53">
        <v>60</v>
      </c>
      <c r="AR53">
        <v>40</v>
      </c>
      <c r="AS53">
        <v>100</v>
      </c>
      <c r="AT53">
        <v>24</v>
      </c>
      <c r="AU53">
        <v>108</v>
      </c>
      <c r="AV53">
        <v>64</v>
      </c>
      <c r="AW53">
        <v>42</v>
      </c>
      <c r="AX53">
        <v>106</v>
      </c>
      <c r="AY53">
        <v>98</v>
      </c>
      <c r="AZ53">
        <v>76</v>
      </c>
      <c r="BA53">
        <v>14</v>
      </c>
      <c r="BB53">
        <v>308</v>
      </c>
      <c r="BC53">
        <v>109</v>
      </c>
      <c r="BD53">
        <v>38</v>
      </c>
      <c r="BE53">
        <v>84</v>
      </c>
      <c r="BF53">
        <v>90</v>
      </c>
      <c r="BG53">
        <v>92</v>
      </c>
      <c r="BH53">
        <v>37</v>
      </c>
      <c r="BI53">
        <v>112</v>
      </c>
      <c r="BJ53">
        <v>100</v>
      </c>
      <c r="BK53">
        <v>73</v>
      </c>
      <c r="BL53">
        <v>38</v>
      </c>
      <c r="BM53">
        <v>91</v>
      </c>
      <c r="BN53">
        <v>12</v>
      </c>
      <c r="BO53">
        <v>10</v>
      </c>
      <c r="BP53">
        <v>36</v>
      </c>
      <c r="BQ53">
        <v>50</v>
      </c>
      <c r="BR53">
        <v>36</v>
      </c>
      <c r="BS53">
        <v>59</v>
      </c>
      <c r="BU53" s="1">
        <f>AVERAGE(Table9[[#This Row],[1-Jan-21]:[1-Dec-25]])</f>
        <v>57.733333333333334</v>
      </c>
    </row>
    <row r="54" spans="1:73" x14ac:dyDescent="0.55000000000000004">
      <c r="A54">
        <v>53</v>
      </c>
      <c r="B54" t="s">
        <v>71</v>
      </c>
      <c r="C54" t="s">
        <v>72</v>
      </c>
      <c r="D54" t="s">
        <v>73</v>
      </c>
      <c r="E54" t="s">
        <v>99</v>
      </c>
      <c r="F54">
        <v>108306</v>
      </c>
      <c r="G54" t="s">
        <v>156</v>
      </c>
      <c r="H54" t="s">
        <v>76</v>
      </c>
      <c r="I54" t="s">
        <v>80</v>
      </c>
      <c r="J54">
        <v>496.04</v>
      </c>
      <c r="K54">
        <v>6</v>
      </c>
      <c r="L54">
        <v>0</v>
      </c>
      <c r="M54">
        <v>2</v>
      </c>
      <c r="N54">
        <v>0</v>
      </c>
      <c r="O54">
        <v>1</v>
      </c>
      <c r="P54">
        <v>11</v>
      </c>
      <c r="Q54">
        <v>10</v>
      </c>
      <c r="R54">
        <v>1</v>
      </c>
      <c r="S54">
        <v>3</v>
      </c>
      <c r="T54">
        <v>4</v>
      </c>
      <c r="U54">
        <v>3</v>
      </c>
      <c r="V54">
        <v>5</v>
      </c>
      <c r="W54">
        <v>0</v>
      </c>
      <c r="X54">
        <v>11</v>
      </c>
      <c r="Y54">
        <v>21</v>
      </c>
      <c r="Z54">
        <v>28</v>
      </c>
      <c r="AA54">
        <v>4</v>
      </c>
      <c r="AB54">
        <v>12</v>
      </c>
      <c r="AC54">
        <v>5</v>
      </c>
      <c r="AD54">
        <v>2</v>
      </c>
      <c r="AE54">
        <v>6</v>
      </c>
      <c r="AF54">
        <v>9</v>
      </c>
      <c r="AG54">
        <v>7</v>
      </c>
      <c r="AH54">
        <v>8</v>
      </c>
      <c r="AI54">
        <v>7</v>
      </c>
      <c r="AJ54">
        <v>7</v>
      </c>
      <c r="AK54">
        <v>5</v>
      </c>
      <c r="AL54">
        <v>2</v>
      </c>
      <c r="AM54">
        <v>5</v>
      </c>
      <c r="AN54">
        <v>6</v>
      </c>
      <c r="AO54">
        <v>4</v>
      </c>
      <c r="AP54">
        <v>4</v>
      </c>
      <c r="AQ54">
        <v>2</v>
      </c>
      <c r="AR54">
        <v>11</v>
      </c>
      <c r="AS54">
        <v>1</v>
      </c>
      <c r="AT54">
        <v>0</v>
      </c>
      <c r="AU54">
        <v>7</v>
      </c>
      <c r="AV54">
        <v>0</v>
      </c>
      <c r="AW54">
        <v>3</v>
      </c>
      <c r="AX54">
        <v>4</v>
      </c>
      <c r="AY54">
        <v>3</v>
      </c>
      <c r="AZ54">
        <v>9</v>
      </c>
      <c r="BA54">
        <v>0</v>
      </c>
      <c r="BB54">
        <v>3</v>
      </c>
      <c r="BC54">
        <v>4</v>
      </c>
      <c r="BD54">
        <v>4</v>
      </c>
      <c r="BE54">
        <v>8</v>
      </c>
      <c r="BF54">
        <v>3</v>
      </c>
      <c r="BG54">
        <v>3</v>
      </c>
      <c r="BH54">
        <v>13</v>
      </c>
      <c r="BI54">
        <v>4</v>
      </c>
      <c r="BJ54">
        <v>5</v>
      </c>
      <c r="BK54">
        <v>8</v>
      </c>
      <c r="BL54">
        <v>3</v>
      </c>
      <c r="BM54">
        <v>6</v>
      </c>
      <c r="BN54">
        <v>10</v>
      </c>
      <c r="BO54">
        <v>14</v>
      </c>
      <c r="BP54">
        <v>11</v>
      </c>
      <c r="BQ54">
        <v>4</v>
      </c>
      <c r="BR54">
        <v>10</v>
      </c>
      <c r="BS54">
        <v>54</v>
      </c>
      <c r="BU54" s="1">
        <f>AVERAGE(Table9[[#This Row],[1-Jan-21]:[1-Dec-25]])</f>
        <v>5.8666666666666663</v>
      </c>
    </row>
    <row r="55" spans="1:73" x14ac:dyDescent="0.55000000000000004">
      <c r="A55">
        <v>54</v>
      </c>
      <c r="B55" t="s">
        <v>71</v>
      </c>
      <c r="C55" t="s">
        <v>72</v>
      </c>
      <c r="D55" t="s">
        <v>73</v>
      </c>
      <c r="E55" t="s">
        <v>87</v>
      </c>
      <c r="F55">
        <v>107617</v>
      </c>
      <c r="G55" t="s">
        <v>157</v>
      </c>
      <c r="H55" t="s">
        <v>76</v>
      </c>
      <c r="I55" t="s">
        <v>80</v>
      </c>
      <c r="J55">
        <v>57.88</v>
      </c>
      <c r="K55">
        <v>13</v>
      </c>
      <c r="L55">
        <v>20</v>
      </c>
      <c r="M55">
        <v>25</v>
      </c>
      <c r="N55">
        <v>26</v>
      </c>
      <c r="O55">
        <v>0</v>
      </c>
      <c r="P55">
        <v>14</v>
      </c>
      <c r="Q55">
        <v>30</v>
      </c>
      <c r="R55">
        <v>0</v>
      </c>
      <c r="S55">
        <v>26</v>
      </c>
      <c r="T55">
        <v>30</v>
      </c>
      <c r="U55">
        <v>0</v>
      </c>
      <c r="V55">
        <v>31</v>
      </c>
      <c r="W55">
        <v>20</v>
      </c>
      <c r="X55">
        <v>14</v>
      </c>
      <c r="Y55">
        <v>10</v>
      </c>
      <c r="Z55">
        <v>0</v>
      </c>
      <c r="AA55">
        <v>6</v>
      </c>
      <c r="AB55">
        <v>11</v>
      </c>
      <c r="AC55">
        <v>9</v>
      </c>
      <c r="AD55">
        <v>16</v>
      </c>
      <c r="AE55">
        <v>33</v>
      </c>
      <c r="AF55">
        <v>0</v>
      </c>
      <c r="AG55">
        <v>14</v>
      </c>
      <c r="AH55">
        <v>0</v>
      </c>
      <c r="AI55">
        <v>15</v>
      </c>
      <c r="AJ55">
        <v>30</v>
      </c>
      <c r="AK55">
        <v>30</v>
      </c>
      <c r="AL55">
        <v>30</v>
      </c>
      <c r="AM55">
        <v>12</v>
      </c>
      <c r="AN55">
        <v>41</v>
      </c>
      <c r="AO55">
        <v>4</v>
      </c>
      <c r="AP55">
        <v>40</v>
      </c>
      <c r="AQ55">
        <v>59</v>
      </c>
      <c r="AR55">
        <v>0</v>
      </c>
      <c r="AS55">
        <v>8</v>
      </c>
      <c r="AT55">
        <v>14</v>
      </c>
      <c r="AU55">
        <v>37</v>
      </c>
      <c r="AV55">
        <v>0</v>
      </c>
      <c r="AW55">
        <v>0</v>
      </c>
      <c r="AX55">
        <v>2</v>
      </c>
      <c r="AY55">
        <v>10</v>
      </c>
      <c r="AZ55">
        <v>0</v>
      </c>
      <c r="BA55">
        <v>0</v>
      </c>
      <c r="BB55">
        <v>0</v>
      </c>
      <c r="BC55">
        <v>0</v>
      </c>
      <c r="BD55">
        <v>32</v>
      </c>
      <c r="BE55">
        <v>25</v>
      </c>
      <c r="BF55">
        <v>4</v>
      </c>
      <c r="BG55">
        <v>8</v>
      </c>
      <c r="BH55">
        <v>30</v>
      </c>
      <c r="BI55">
        <v>20</v>
      </c>
      <c r="BJ55">
        <v>0</v>
      </c>
      <c r="BK55">
        <v>14</v>
      </c>
      <c r="BL55">
        <v>10</v>
      </c>
      <c r="BM55">
        <v>20</v>
      </c>
      <c r="BN55">
        <v>0</v>
      </c>
      <c r="BO55">
        <v>15</v>
      </c>
      <c r="BP55">
        <v>0</v>
      </c>
      <c r="BQ55">
        <v>15</v>
      </c>
      <c r="BR55">
        <v>0</v>
      </c>
      <c r="BS55">
        <v>43</v>
      </c>
      <c r="BU55" s="1">
        <f>AVERAGE(Table9[[#This Row],[1-Jan-21]:[1-Dec-25]])</f>
        <v>14.55</v>
      </c>
    </row>
    <row r="56" spans="1:73" x14ac:dyDescent="0.55000000000000004">
      <c r="A56">
        <v>55</v>
      </c>
      <c r="B56" t="s">
        <v>71</v>
      </c>
      <c r="C56" t="s">
        <v>72</v>
      </c>
      <c r="D56" t="s">
        <v>73</v>
      </c>
      <c r="E56" t="s">
        <v>91</v>
      </c>
      <c r="F56">
        <v>140065</v>
      </c>
      <c r="G56" t="s">
        <v>158</v>
      </c>
      <c r="H56" t="s">
        <v>76</v>
      </c>
      <c r="I56" t="s">
        <v>80</v>
      </c>
      <c r="J56">
        <v>289.11</v>
      </c>
      <c r="K56">
        <v>73</v>
      </c>
      <c r="L56">
        <v>46</v>
      </c>
      <c r="M56">
        <v>70</v>
      </c>
      <c r="N56">
        <v>68</v>
      </c>
      <c r="O56">
        <v>30</v>
      </c>
      <c r="P56">
        <v>74</v>
      </c>
      <c r="Q56">
        <v>24</v>
      </c>
      <c r="R56">
        <v>40</v>
      </c>
      <c r="S56">
        <v>44</v>
      </c>
      <c r="T56">
        <v>20</v>
      </c>
      <c r="U56">
        <v>36</v>
      </c>
      <c r="V56">
        <v>28</v>
      </c>
      <c r="W56">
        <v>46</v>
      </c>
      <c r="X56">
        <v>72</v>
      </c>
      <c r="Y56">
        <v>80</v>
      </c>
      <c r="Z56">
        <v>70</v>
      </c>
      <c r="AA56">
        <v>19</v>
      </c>
      <c r="AB56">
        <v>57</v>
      </c>
      <c r="AC56">
        <v>26</v>
      </c>
      <c r="AD56">
        <v>56</v>
      </c>
      <c r="AE56">
        <v>44</v>
      </c>
      <c r="AF56">
        <v>14</v>
      </c>
      <c r="AG56">
        <v>22</v>
      </c>
      <c r="AH56">
        <v>28</v>
      </c>
      <c r="AI56">
        <v>14</v>
      </c>
      <c r="AJ56">
        <v>16</v>
      </c>
      <c r="AK56">
        <v>18</v>
      </c>
      <c r="AL56">
        <v>10</v>
      </c>
      <c r="AM56">
        <v>20</v>
      </c>
      <c r="AN56">
        <v>22</v>
      </c>
      <c r="AO56">
        <v>39</v>
      </c>
      <c r="AP56">
        <v>0</v>
      </c>
      <c r="AQ56">
        <v>20</v>
      </c>
      <c r="AR56">
        <v>1</v>
      </c>
      <c r="AS56">
        <v>10</v>
      </c>
      <c r="AT56">
        <v>3</v>
      </c>
      <c r="AU56">
        <v>25</v>
      </c>
      <c r="AV56">
        <v>19</v>
      </c>
      <c r="AW56">
        <v>19</v>
      </c>
      <c r="AX56">
        <v>15</v>
      </c>
      <c r="AY56">
        <v>29</v>
      </c>
      <c r="AZ56">
        <v>23</v>
      </c>
      <c r="BA56">
        <v>14</v>
      </c>
      <c r="BB56">
        <v>20</v>
      </c>
      <c r="BC56">
        <v>22</v>
      </c>
      <c r="BD56">
        <v>10</v>
      </c>
      <c r="BE56">
        <v>23</v>
      </c>
      <c r="BF56">
        <v>4</v>
      </c>
      <c r="BG56">
        <v>39</v>
      </c>
      <c r="BH56">
        <v>13</v>
      </c>
      <c r="BI56">
        <v>14</v>
      </c>
      <c r="BJ56">
        <v>20</v>
      </c>
      <c r="BK56">
        <v>34</v>
      </c>
      <c r="BL56">
        <v>0</v>
      </c>
      <c r="BM56">
        <v>0</v>
      </c>
      <c r="BN56">
        <v>0</v>
      </c>
      <c r="BO56">
        <v>32</v>
      </c>
      <c r="BP56">
        <v>0</v>
      </c>
      <c r="BQ56">
        <v>8</v>
      </c>
      <c r="BR56">
        <v>24</v>
      </c>
      <c r="BS56">
        <v>55</v>
      </c>
      <c r="BU56" s="1">
        <f>AVERAGE(Table9[[#This Row],[1-Jan-21]:[1-Dec-25]])</f>
        <v>27.783333333333335</v>
      </c>
    </row>
    <row r="57" spans="1:73" x14ac:dyDescent="0.55000000000000004">
      <c r="A57">
        <v>56</v>
      </c>
      <c r="B57" t="s">
        <v>71</v>
      </c>
      <c r="C57" t="s">
        <v>72</v>
      </c>
      <c r="D57" t="s">
        <v>73</v>
      </c>
      <c r="E57" t="s">
        <v>134</v>
      </c>
      <c r="F57">
        <v>108731</v>
      </c>
      <c r="G57" t="s">
        <v>159</v>
      </c>
      <c r="H57" t="s">
        <v>76</v>
      </c>
      <c r="I57" t="s">
        <v>80</v>
      </c>
      <c r="J57">
        <v>9842</v>
      </c>
      <c r="K57">
        <v>2</v>
      </c>
      <c r="L57">
        <v>2</v>
      </c>
      <c r="M57">
        <v>2</v>
      </c>
      <c r="N57">
        <v>6</v>
      </c>
      <c r="O57">
        <v>0</v>
      </c>
      <c r="P57">
        <v>5</v>
      </c>
      <c r="Q57">
        <v>2</v>
      </c>
      <c r="R57">
        <v>2</v>
      </c>
      <c r="S57">
        <v>2</v>
      </c>
      <c r="T57">
        <v>2</v>
      </c>
      <c r="U57">
        <v>1</v>
      </c>
      <c r="V57">
        <v>3</v>
      </c>
      <c r="W57">
        <v>5</v>
      </c>
      <c r="X57">
        <v>0</v>
      </c>
      <c r="Y57">
        <v>3</v>
      </c>
      <c r="Z57">
        <v>4</v>
      </c>
      <c r="AA57">
        <v>4</v>
      </c>
      <c r="AB57">
        <v>3</v>
      </c>
      <c r="AC57">
        <v>1</v>
      </c>
      <c r="AD57">
        <v>2</v>
      </c>
      <c r="AE57">
        <v>1</v>
      </c>
      <c r="AF57">
        <v>3</v>
      </c>
      <c r="AG57">
        <v>1</v>
      </c>
      <c r="AH57">
        <v>0</v>
      </c>
      <c r="AI57">
        <v>1</v>
      </c>
      <c r="AJ57">
        <v>1</v>
      </c>
      <c r="AK57">
        <v>4</v>
      </c>
      <c r="AL57">
        <v>1</v>
      </c>
      <c r="AM57">
        <v>2</v>
      </c>
      <c r="AN57">
        <v>2</v>
      </c>
      <c r="AO57">
        <v>1</v>
      </c>
      <c r="AP57">
        <v>0</v>
      </c>
      <c r="AQ57">
        <v>3</v>
      </c>
      <c r="AR57">
        <v>1</v>
      </c>
      <c r="AS57">
        <v>0</v>
      </c>
      <c r="AT57">
        <v>3</v>
      </c>
      <c r="AU57">
        <v>0</v>
      </c>
      <c r="AV57">
        <v>0</v>
      </c>
      <c r="AW57">
        <v>4</v>
      </c>
      <c r="AX57">
        <v>8</v>
      </c>
      <c r="AY57">
        <v>4</v>
      </c>
      <c r="AZ57">
        <v>5</v>
      </c>
      <c r="BA57">
        <v>5</v>
      </c>
      <c r="BB57">
        <v>3</v>
      </c>
      <c r="BC57">
        <v>3</v>
      </c>
      <c r="BD57">
        <v>7</v>
      </c>
      <c r="BE57">
        <v>4</v>
      </c>
      <c r="BF57">
        <v>6</v>
      </c>
      <c r="BG57">
        <v>1</v>
      </c>
      <c r="BH57">
        <v>0</v>
      </c>
      <c r="BI57">
        <v>7</v>
      </c>
      <c r="BJ57">
        <v>6</v>
      </c>
      <c r="BK57">
        <v>5</v>
      </c>
      <c r="BL57">
        <v>2</v>
      </c>
      <c r="BM57">
        <v>0</v>
      </c>
      <c r="BN57">
        <v>5</v>
      </c>
      <c r="BO57">
        <v>1</v>
      </c>
      <c r="BP57">
        <v>2</v>
      </c>
      <c r="BQ57">
        <v>1</v>
      </c>
      <c r="BR57">
        <v>0</v>
      </c>
      <c r="BS57">
        <v>50</v>
      </c>
      <c r="BU57" s="1">
        <f>AVERAGE(Table9[[#This Row],[1-Jan-21]:[1-Dec-25]])</f>
        <v>2.5666666666666669</v>
      </c>
    </row>
    <row r="58" spans="1:73" x14ac:dyDescent="0.55000000000000004">
      <c r="A58">
        <v>57</v>
      </c>
      <c r="B58" t="s">
        <v>71</v>
      </c>
      <c r="C58" t="s">
        <v>72</v>
      </c>
      <c r="D58" t="s">
        <v>73</v>
      </c>
      <c r="E58" t="s">
        <v>87</v>
      </c>
      <c r="F58">
        <v>107703</v>
      </c>
      <c r="G58" t="s">
        <v>160</v>
      </c>
      <c r="H58" t="s">
        <v>76</v>
      </c>
      <c r="I58" t="s">
        <v>80</v>
      </c>
      <c r="J58">
        <v>12.79</v>
      </c>
      <c r="K58">
        <v>10</v>
      </c>
      <c r="L58">
        <v>132</v>
      </c>
      <c r="M58">
        <v>131</v>
      </c>
      <c r="N58">
        <v>50</v>
      </c>
      <c r="O58">
        <v>14</v>
      </c>
      <c r="P58">
        <v>152</v>
      </c>
      <c r="Q58">
        <v>134</v>
      </c>
      <c r="R58">
        <v>128</v>
      </c>
      <c r="S58">
        <v>127</v>
      </c>
      <c r="T58">
        <v>142</v>
      </c>
      <c r="U58">
        <v>213</v>
      </c>
      <c r="V58">
        <v>190</v>
      </c>
      <c r="W58">
        <v>255</v>
      </c>
      <c r="X58">
        <v>100</v>
      </c>
      <c r="Y58">
        <v>38</v>
      </c>
      <c r="Z58">
        <v>105</v>
      </c>
      <c r="AA58">
        <v>169</v>
      </c>
      <c r="AB58">
        <v>122</v>
      </c>
      <c r="AC58">
        <v>280</v>
      </c>
      <c r="AD58">
        <v>40</v>
      </c>
      <c r="AE58">
        <v>80</v>
      </c>
      <c r="AF58">
        <v>210</v>
      </c>
      <c r="AG58">
        <v>60</v>
      </c>
      <c r="AH58">
        <v>55</v>
      </c>
      <c r="AI58">
        <v>60</v>
      </c>
      <c r="AJ58">
        <v>155</v>
      </c>
      <c r="AK58">
        <v>0</v>
      </c>
      <c r="AL58">
        <v>0</v>
      </c>
      <c r="AM58">
        <v>40</v>
      </c>
      <c r="AN58">
        <v>0</v>
      </c>
      <c r="AO58">
        <v>0</v>
      </c>
      <c r="AP58">
        <v>53</v>
      </c>
      <c r="AQ58">
        <v>72</v>
      </c>
      <c r="AR58">
        <v>0</v>
      </c>
      <c r="AS58">
        <v>50</v>
      </c>
      <c r="AT58">
        <v>51</v>
      </c>
      <c r="AU58">
        <v>60</v>
      </c>
      <c r="AV58">
        <v>20</v>
      </c>
      <c r="AW58">
        <v>90</v>
      </c>
      <c r="AX58">
        <v>69</v>
      </c>
      <c r="AY58">
        <v>170</v>
      </c>
      <c r="AZ58">
        <v>87</v>
      </c>
      <c r="BA58">
        <v>10</v>
      </c>
      <c r="BB58">
        <v>0</v>
      </c>
      <c r="BC58">
        <v>55</v>
      </c>
      <c r="BD58">
        <v>44</v>
      </c>
      <c r="BE58">
        <v>86</v>
      </c>
      <c r="BF58">
        <v>155</v>
      </c>
      <c r="BG58">
        <v>80</v>
      </c>
      <c r="BH58">
        <v>36</v>
      </c>
      <c r="BI58">
        <v>70</v>
      </c>
      <c r="BJ58">
        <v>60</v>
      </c>
      <c r="BK58">
        <v>152</v>
      </c>
      <c r="BL58">
        <v>0</v>
      </c>
      <c r="BM58">
        <v>20</v>
      </c>
      <c r="BN58">
        <v>0</v>
      </c>
      <c r="BO58">
        <v>20</v>
      </c>
      <c r="BP58">
        <v>125</v>
      </c>
      <c r="BQ58">
        <v>20</v>
      </c>
      <c r="BR58">
        <v>200</v>
      </c>
      <c r="BS58">
        <v>52</v>
      </c>
      <c r="BU58" s="1">
        <f>AVERAGE(Table9[[#This Row],[1-Jan-21]:[1-Dec-25]])</f>
        <v>84.11666666666666</v>
      </c>
    </row>
    <row r="59" spans="1:73" x14ac:dyDescent="0.55000000000000004">
      <c r="A59">
        <v>58</v>
      </c>
      <c r="B59" t="s">
        <v>71</v>
      </c>
      <c r="C59" t="s">
        <v>72</v>
      </c>
      <c r="D59" t="s">
        <v>73</v>
      </c>
      <c r="E59" t="s">
        <v>161</v>
      </c>
      <c r="F59">
        <v>110576</v>
      </c>
      <c r="G59" t="s">
        <v>162</v>
      </c>
      <c r="H59" t="s">
        <v>76</v>
      </c>
      <c r="I59" t="s">
        <v>80</v>
      </c>
      <c r="J59">
        <v>16.73</v>
      </c>
      <c r="K59">
        <v>14</v>
      </c>
      <c r="L59">
        <v>50</v>
      </c>
      <c r="M59">
        <v>24</v>
      </c>
      <c r="N59">
        <v>27</v>
      </c>
      <c r="O59">
        <v>10</v>
      </c>
      <c r="P59">
        <v>6</v>
      </c>
      <c r="Q59">
        <v>30</v>
      </c>
      <c r="R59">
        <v>32</v>
      </c>
      <c r="S59">
        <v>17</v>
      </c>
      <c r="T59">
        <v>45</v>
      </c>
      <c r="U59">
        <v>12</v>
      </c>
      <c r="V59">
        <v>27</v>
      </c>
      <c r="W59">
        <v>14</v>
      </c>
      <c r="X59">
        <v>21</v>
      </c>
      <c r="Y59">
        <v>27</v>
      </c>
      <c r="Z59">
        <v>12</v>
      </c>
      <c r="AA59">
        <v>12</v>
      </c>
      <c r="AB59">
        <v>0</v>
      </c>
      <c r="AC59">
        <v>0</v>
      </c>
      <c r="AD59">
        <v>4</v>
      </c>
      <c r="AE59">
        <v>2</v>
      </c>
      <c r="AF59">
        <v>6</v>
      </c>
      <c r="AG59">
        <v>18</v>
      </c>
      <c r="AH59">
        <v>14</v>
      </c>
      <c r="AI59">
        <v>1</v>
      </c>
      <c r="AJ59">
        <v>17</v>
      </c>
      <c r="AK59">
        <v>7</v>
      </c>
      <c r="AL59">
        <v>2</v>
      </c>
      <c r="AM59">
        <v>4</v>
      </c>
      <c r="AN59">
        <v>4</v>
      </c>
      <c r="AO59">
        <v>4</v>
      </c>
      <c r="AP59">
        <v>6</v>
      </c>
      <c r="AQ59">
        <v>8</v>
      </c>
      <c r="AR59">
        <v>7</v>
      </c>
      <c r="AS59">
        <v>128</v>
      </c>
      <c r="AT59">
        <v>9</v>
      </c>
      <c r="AU59">
        <v>34</v>
      </c>
      <c r="AV59">
        <v>5</v>
      </c>
      <c r="AW59">
        <v>36</v>
      </c>
      <c r="AX59">
        <v>10</v>
      </c>
      <c r="AY59">
        <v>48</v>
      </c>
      <c r="AZ59">
        <v>17</v>
      </c>
      <c r="BA59">
        <v>0</v>
      </c>
      <c r="BB59">
        <v>4</v>
      </c>
      <c r="BC59">
        <v>22</v>
      </c>
      <c r="BD59">
        <v>40</v>
      </c>
      <c r="BE59">
        <v>14</v>
      </c>
      <c r="BF59">
        <v>62</v>
      </c>
      <c r="BG59">
        <v>14</v>
      </c>
      <c r="BH59">
        <v>32</v>
      </c>
      <c r="BI59">
        <v>13</v>
      </c>
      <c r="BJ59">
        <v>34</v>
      </c>
      <c r="BK59">
        <v>35</v>
      </c>
      <c r="BL59">
        <v>28</v>
      </c>
      <c r="BM59">
        <v>4</v>
      </c>
      <c r="BN59">
        <v>25</v>
      </c>
      <c r="BO59">
        <v>0</v>
      </c>
      <c r="BP59">
        <v>10</v>
      </c>
      <c r="BQ59">
        <v>12</v>
      </c>
      <c r="BR59">
        <v>30</v>
      </c>
      <c r="BS59">
        <v>56</v>
      </c>
      <c r="BU59" s="1">
        <f>AVERAGE(Table9[[#This Row],[1-Jan-21]:[1-Dec-25]])</f>
        <v>19.166666666666668</v>
      </c>
    </row>
    <row r="60" spans="1:73" x14ac:dyDescent="0.55000000000000004">
      <c r="A60">
        <v>59</v>
      </c>
      <c r="B60" t="s">
        <v>71</v>
      </c>
      <c r="C60" t="s">
        <v>72</v>
      </c>
      <c r="D60" t="s">
        <v>73</v>
      </c>
      <c r="E60" t="s">
        <v>163</v>
      </c>
      <c r="F60">
        <v>109197</v>
      </c>
      <c r="G60" t="s">
        <v>164</v>
      </c>
      <c r="H60" t="s">
        <v>76</v>
      </c>
      <c r="I60" t="s">
        <v>80</v>
      </c>
      <c r="J60">
        <v>15.84</v>
      </c>
      <c r="K60">
        <v>64</v>
      </c>
      <c r="L60">
        <v>0</v>
      </c>
      <c r="M60">
        <v>30</v>
      </c>
      <c r="N60">
        <v>0</v>
      </c>
      <c r="O60">
        <v>0</v>
      </c>
      <c r="P60">
        <v>0</v>
      </c>
      <c r="Q60">
        <v>10</v>
      </c>
      <c r="R60">
        <v>25</v>
      </c>
      <c r="S60">
        <v>352</v>
      </c>
      <c r="T60">
        <v>450</v>
      </c>
      <c r="U60">
        <v>612</v>
      </c>
      <c r="V60">
        <v>20</v>
      </c>
      <c r="W60">
        <v>250</v>
      </c>
      <c r="X60">
        <v>35</v>
      </c>
      <c r="Y60">
        <v>0</v>
      </c>
      <c r="Z60">
        <v>200</v>
      </c>
      <c r="AA60">
        <v>80</v>
      </c>
      <c r="AB60">
        <v>320</v>
      </c>
      <c r="AC60">
        <v>510</v>
      </c>
      <c r="AD60">
        <v>306</v>
      </c>
      <c r="AE60">
        <v>35</v>
      </c>
      <c r="AF60">
        <v>211</v>
      </c>
      <c r="AG60">
        <v>100</v>
      </c>
      <c r="AH60">
        <v>30</v>
      </c>
      <c r="AI60">
        <v>0</v>
      </c>
      <c r="AJ60">
        <v>200</v>
      </c>
      <c r="AK60">
        <v>275</v>
      </c>
      <c r="AL60">
        <v>200</v>
      </c>
      <c r="AM60">
        <v>215</v>
      </c>
      <c r="AN60">
        <v>0</v>
      </c>
      <c r="AO60">
        <v>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90</v>
      </c>
      <c r="AV60">
        <v>200</v>
      </c>
      <c r="AW60">
        <v>430</v>
      </c>
      <c r="AX60">
        <v>200</v>
      </c>
      <c r="AY60">
        <v>80</v>
      </c>
      <c r="AZ60">
        <v>340</v>
      </c>
      <c r="BA60">
        <v>230</v>
      </c>
      <c r="BB60">
        <v>12</v>
      </c>
      <c r="BC60">
        <v>50</v>
      </c>
      <c r="BD60">
        <v>0</v>
      </c>
      <c r="BE60">
        <v>320</v>
      </c>
      <c r="BF60">
        <v>105</v>
      </c>
      <c r="BG60">
        <v>0</v>
      </c>
      <c r="BH60">
        <v>100</v>
      </c>
      <c r="BI60">
        <v>10</v>
      </c>
      <c r="BJ60">
        <v>0</v>
      </c>
      <c r="BK60">
        <v>0</v>
      </c>
      <c r="BL60">
        <v>0</v>
      </c>
      <c r="BM60">
        <v>62</v>
      </c>
      <c r="BN60">
        <v>20</v>
      </c>
      <c r="BO60">
        <v>0</v>
      </c>
      <c r="BP60">
        <v>0</v>
      </c>
      <c r="BQ60">
        <v>0</v>
      </c>
      <c r="BR60">
        <v>0</v>
      </c>
      <c r="BS60">
        <v>43</v>
      </c>
      <c r="BU60" s="1">
        <f>AVERAGE(Table9[[#This Row],[1-Jan-21]:[1-Dec-25]])</f>
        <v>129.65</v>
      </c>
    </row>
    <row r="61" spans="1:73" x14ac:dyDescent="0.55000000000000004">
      <c r="A61">
        <v>60</v>
      </c>
      <c r="B61" t="s">
        <v>71</v>
      </c>
      <c r="C61" t="s">
        <v>72</v>
      </c>
      <c r="D61" t="s">
        <v>73</v>
      </c>
      <c r="E61" t="s">
        <v>107</v>
      </c>
      <c r="F61">
        <v>110399</v>
      </c>
      <c r="G61" t="s">
        <v>165</v>
      </c>
      <c r="H61" t="s">
        <v>76</v>
      </c>
      <c r="I61" t="s">
        <v>80</v>
      </c>
      <c r="J61">
        <v>554.1</v>
      </c>
      <c r="K61">
        <v>6</v>
      </c>
      <c r="L61">
        <v>0</v>
      </c>
      <c r="M61">
        <v>8</v>
      </c>
      <c r="N61">
        <v>3</v>
      </c>
      <c r="O61">
        <v>3</v>
      </c>
      <c r="P61">
        <v>0</v>
      </c>
      <c r="Q61">
        <v>4</v>
      </c>
      <c r="R61">
        <v>2</v>
      </c>
      <c r="S61">
        <v>12</v>
      </c>
      <c r="T61">
        <v>4</v>
      </c>
      <c r="U61">
        <v>7</v>
      </c>
      <c r="V61">
        <v>19</v>
      </c>
      <c r="W61">
        <v>6</v>
      </c>
      <c r="X61">
        <v>7</v>
      </c>
      <c r="Y61">
        <v>10</v>
      </c>
      <c r="Z61">
        <v>2</v>
      </c>
      <c r="AA61">
        <v>2</v>
      </c>
      <c r="AB61">
        <v>4</v>
      </c>
      <c r="AC61">
        <v>0</v>
      </c>
      <c r="AD61">
        <v>7</v>
      </c>
      <c r="AE61">
        <v>13</v>
      </c>
      <c r="AF61">
        <v>3</v>
      </c>
      <c r="AG61">
        <v>4</v>
      </c>
      <c r="AH61">
        <v>4</v>
      </c>
      <c r="AI61">
        <v>4</v>
      </c>
      <c r="AJ61">
        <v>8</v>
      </c>
      <c r="AK61">
        <v>3</v>
      </c>
      <c r="AL61">
        <v>2</v>
      </c>
      <c r="AM61">
        <v>4</v>
      </c>
      <c r="AN61">
        <v>6</v>
      </c>
      <c r="AO61">
        <v>3</v>
      </c>
      <c r="AP61">
        <v>7</v>
      </c>
      <c r="AQ61">
        <v>4</v>
      </c>
      <c r="AR61">
        <v>1</v>
      </c>
      <c r="AS61">
        <v>4</v>
      </c>
      <c r="AT61">
        <v>4</v>
      </c>
      <c r="AU61">
        <v>7</v>
      </c>
      <c r="AV61">
        <v>9</v>
      </c>
      <c r="AW61">
        <v>5</v>
      </c>
      <c r="AX61">
        <v>6</v>
      </c>
      <c r="AY61">
        <v>11</v>
      </c>
      <c r="AZ61">
        <v>13</v>
      </c>
      <c r="BA61">
        <v>4</v>
      </c>
      <c r="BB61">
        <v>11</v>
      </c>
      <c r="BC61">
        <v>8</v>
      </c>
      <c r="BD61">
        <v>4</v>
      </c>
      <c r="BE61">
        <v>1</v>
      </c>
      <c r="BF61">
        <v>3</v>
      </c>
      <c r="BG61">
        <v>1</v>
      </c>
      <c r="BH61">
        <v>4</v>
      </c>
      <c r="BI61">
        <v>4</v>
      </c>
      <c r="BJ61">
        <v>3</v>
      </c>
      <c r="BK61">
        <v>1</v>
      </c>
      <c r="BL61">
        <v>7</v>
      </c>
      <c r="BM61">
        <v>6</v>
      </c>
      <c r="BN61">
        <v>12</v>
      </c>
      <c r="BO61">
        <v>10</v>
      </c>
      <c r="BP61">
        <v>20</v>
      </c>
      <c r="BQ61">
        <v>4</v>
      </c>
      <c r="BR61">
        <v>0</v>
      </c>
      <c r="BS61">
        <v>56</v>
      </c>
      <c r="BU61" s="1">
        <f>AVERAGE(Table9[[#This Row],[1-Jan-21]:[1-Dec-25]])</f>
        <v>5.5666666666666664</v>
      </c>
    </row>
    <row r="62" spans="1:73" x14ac:dyDescent="0.55000000000000004">
      <c r="A62">
        <v>61</v>
      </c>
      <c r="B62" t="s">
        <v>71</v>
      </c>
      <c r="C62" t="s">
        <v>72</v>
      </c>
      <c r="D62" t="s">
        <v>73</v>
      </c>
      <c r="E62" t="s">
        <v>145</v>
      </c>
      <c r="F62">
        <v>110058</v>
      </c>
      <c r="G62" t="s">
        <v>166</v>
      </c>
      <c r="H62" t="s">
        <v>76</v>
      </c>
      <c r="I62" t="s">
        <v>80</v>
      </c>
      <c r="J62">
        <v>32.409999999999997</v>
      </c>
      <c r="K62">
        <v>32</v>
      </c>
      <c r="L62">
        <v>31</v>
      </c>
      <c r="M62">
        <v>82</v>
      </c>
      <c r="N62">
        <v>55</v>
      </c>
      <c r="O62">
        <v>38</v>
      </c>
      <c r="P62">
        <v>64</v>
      </c>
      <c r="Q62">
        <v>2</v>
      </c>
      <c r="R62">
        <v>61</v>
      </c>
      <c r="S62">
        <v>21</v>
      </c>
      <c r="T62">
        <v>88</v>
      </c>
      <c r="U62">
        <v>25</v>
      </c>
      <c r="V62">
        <v>14</v>
      </c>
      <c r="W62">
        <v>17</v>
      </c>
      <c r="X62">
        <v>16</v>
      </c>
      <c r="Y62">
        <v>65</v>
      </c>
      <c r="Z62">
        <v>70</v>
      </c>
      <c r="AA62">
        <v>24</v>
      </c>
      <c r="AB62">
        <v>21</v>
      </c>
      <c r="AC62">
        <v>0</v>
      </c>
      <c r="AD62">
        <v>11</v>
      </c>
      <c r="AE62">
        <v>27</v>
      </c>
      <c r="AF62">
        <v>19</v>
      </c>
      <c r="AG62">
        <v>44</v>
      </c>
      <c r="AH62">
        <v>21</v>
      </c>
      <c r="AI62">
        <v>36</v>
      </c>
      <c r="AJ62">
        <v>18</v>
      </c>
      <c r="AK62">
        <v>14</v>
      </c>
      <c r="AL62">
        <v>8</v>
      </c>
      <c r="AM62">
        <v>14</v>
      </c>
      <c r="AN62">
        <v>57</v>
      </c>
      <c r="AO62">
        <v>76</v>
      </c>
      <c r="AP62">
        <v>32</v>
      </c>
      <c r="AQ62">
        <v>14</v>
      </c>
      <c r="AR62">
        <v>17</v>
      </c>
      <c r="AS62">
        <v>59</v>
      </c>
      <c r="AT62">
        <v>54</v>
      </c>
      <c r="AU62">
        <v>6</v>
      </c>
      <c r="AV62">
        <v>70</v>
      </c>
      <c r="AW62">
        <v>13</v>
      </c>
      <c r="AX62">
        <v>13</v>
      </c>
      <c r="AY62">
        <v>58</v>
      </c>
      <c r="AZ62">
        <v>30</v>
      </c>
      <c r="BA62">
        <v>56</v>
      </c>
      <c r="BB62">
        <v>37</v>
      </c>
      <c r="BC62">
        <v>20</v>
      </c>
      <c r="BD62">
        <v>43</v>
      </c>
      <c r="BE62">
        <v>55</v>
      </c>
      <c r="BF62">
        <v>71</v>
      </c>
      <c r="BG62">
        <v>26</v>
      </c>
      <c r="BH62">
        <v>27</v>
      </c>
      <c r="BI62">
        <v>38</v>
      </c>
      <c r="BJ62">
        <v>13</v>
      </c>
      <c r="BK62">
        <v>34</v>
      </c>
      <c r="BL62">
        <v>7</v>
      </c>
      <c r="BM62">
        <v>12</v>
      </c>
      <c r="BN62">
        <v>64</v>
      </c>
      <c r="BO62">
        <v>35</v>
      </c>
      <c r="BP62">
        <v>3</v>
      </c>
      <c r="BQ62">
        <v>16</v>
      </c>
      <c r="BR62">
        <v>1</v>
      </c>
      <c r="BS62">
        <v>59</v>
      </c>
      <c r="BU62" s="1">
        <f>AVERAGE(Table9[[#This Row],[1-Jan-21]:[1-Dec-25]])</f>
        <v>33.25</v>
      </c>
    </row>
    <row r="63" spans="1:73" x14ac:dyDescent="0.55000000000000004">
      <c r="A63">
        <v>62</v>
      </c>
      <c r="B63" t="s">
        <v>71</v>
      </c>
      <c r="C63" t="s">
        <v>72</v>
      </c>
      <c r="D63" t="s">
        <v>73</v>
      </c>
      <c r="E63" t="s">
        <v>81</v>
      </c>
      <c r="F63">
        <v>111252</v>
      </c>
      <c r="G63" t="s">
        <v>167</v>
      </c>
      <c r="H63" t="s">
        <v>76</v>
      </c>
      <c r="I63" t="s">
        <v>80</v>
      </c>
      <c r="J63">
        <v>71.73</v>
      </c>
      <c r="K63">
        <v>19</v>
      </c>
      <c r="L63">
        <v>50</v>
      </c>
      <c r="M63">
        <v>30</v>
      </c>
      <c r="N63">
        <v>31</v>
      </c>
      <c r="O63">
        <v>12</v>
      </c>
      <c r="P63">
        <v>42</v>
      </c>
      <c r="Q63">
        <v>20</v>
      </c>
      <c r="R63">
        <v>36</v>
      </c>
      <c r="S63">
        <v>23</v>
      </c>
      <c r="T63">
        <v>62</v>
      </c>
      <c r="U63">
        <v>17</v>
      </c>
      <c r="V63">
        <v>18</v>
      </c>
      <c r="W63">
        <v>38</v>
      </c>
      <c r="X63">
        <v>38</v>
      </c>
      <c r="Y63">
        <v>24</v>
      </c>
      <c r="Z63">
        <v>55</v>
      </c>
      <c r="AA63">
        <v>23</v>
      </c>
      <c r="AB63">
        <v>20</v>
      </c>
      <c r="AC63">
        <v>0</v>
      </c>
      <c r="AD63">
        <v>0</v>
      </c>
      <c r="AE63">
        <v>5</v>
      </c>
      <c r="AF63">
        <v>21</v>
      </c>
      <c r="AG63">
        <v>0</v>
      </c>
      <c r="AH63">
        <v>4</v>
      </c>
      <c r="AI63">
        <v>6</v>
      </c>
      <c r="AJ63">
        <v>6</v>
      </c>
      <c r="AK63">
        <v>8</v>
      </c>
      <c r="AL63">
        <v>10</v>
      </c>
      <c r="AM63">
        <v>20</v>
      </c>
      <c r="AN63">
        <v>9</v>
      </c>
      <c r="AO63">
        <v>10</v>
      </c>
      <c r="AP63">
        <v>0</v>
      </c>
      <c r="AQ63">
        <v>3</v>
      </c>
      <c r="AR63">
        <v>0</v>
      </c>
      <c r="AS63">
        <v>20</v>
      </c>
      <c r="AT63">
        <v>4</v>
      </c>
      <c r="AU63">
        <v>5</v>
      </c>
      <c r="AV63">
        <v>28</v>
      </c>
      <c r="AW63">
        <v>51</v>
      </c>
      <c r="AX63">
        <v>42</v>
      </c>
      <c r="AY63">
        <v>72</v>
      </c>
      <c r="AZ63">
        <v>24</v>
      </c>
      <c r="BA63">
        <v>19</v>
      </c>
      <c r="BB63">
        <v>7</v>
      </c>
      <c r="BC63">
        <v>14</v>
      </c>
      <c r="BD63">
        <v>58</v>
      </c>
      <c r="BE63">
        <v>13</v>
      </c>
      <c r="BF63">
        <v>20</v>
      </c>
      <c r="BG63">
        <v>14</v>
      </c>
      <c r="BH63">
        <v>18</v>
      </c>
      <c r="BI63">
        <v>5</v>
      </c>
      <c r="BJ63">
        <v>0</v>
      </c>
      <c r="BK63">
        <v>26</v>
      </c>
      <c r="BL63">
        <v>8</v>
      </c>
      <c r="BM63">
        <v>9</v>
      </c>
      <c r="BN63">
        <v>16</v>
      </c>
      <c r="BO63">
        <v>8</v>
      </c>
      <c r="BP63">
        <v>3</v>
      </c>
      <c r="BQ63">
        <v>7</v>
      </c>
      <c r="BR63">
        <v>2</v>
      </c>
      <c r="BS63">
        <v>54</v>
      </c>
      <c r="BU63" s="1">
        <f>AVERAGE(Table9[[#This Row],[1-Jan-21]:[1-Dec-25]])</f>
        <v>19.216666666666665</v>
      </c>
    </row>
    <row r="64" spans="1:73" x14ac:dyDescent="0.55000000000000004">
      <c r="A64">
        <v>63</v>
      </c>
      <c r="B64" t="s">
        <v>71</v>
      </c>
      <c r="C64" t="s">
        <v>72</v>
      </c>
      <c r="D64" t="s">
        <v>73</v>
      </c>
      <c r="E64" t="s">
        <v>81</v>
      </c>
      <c r="F64">
        <v>111254</v>
      </c>
      <c r="G64" t="s">
        <v>168</v>
      </c>
      <c r="H64" t="s">
        <v>76</v>
      </c>
      <c r="I64" t="s">
        <v>80</v>
      </c>
      <c r="J64">
        <v>133.37</v>
      </c>
      <c r="K64">
        <v>18</v>
      </c>
      <c r="L64">
        <v>31</v>
      </c>
      <c r="M64">
        <v>51</v>
      </c>
      <c r="N64">
        <v>13</v>
      </c>
      <c r="O64">
        <v>6</v>
      </c>
      <c r="P64">
        <v>32</v>
      </c>
      <c r="Q64">
        <v>25</v>
      </c>
      <c r="R64">
        <v>20</v>
      </c>
      <c r="S64">
        <v>56</v>
      </c>
      <c r="T64">
        <v>34</v>
      </c>
      <c r="U64">
        <v>17</v>
      </c>
      <c r="V64">
        <v>6</v>
      </c>
      <c r="W64">
        <v>23</v>
      </c>
      <c r="X64">
        <v>4</v>
      </c>
      <c r="Y64">
        <v>23</v>
      </c>
      <c r="Z64">
        <v>71</v>
      </c>
      <c r="AA64">
        <v>40</v>
      </c>
      <c r="AB64">
        <v>26</v>
      </c>
      <c r="AC64">
        <v>14</v>
      </c>
      <c r="AD64">
        <v>30</v>
      </c>
      <c r="AE64">
        <v>13</v>
      </c>
      <c r="AF64">
        <v>23</v>
      </c>
      <c r="AG64">
        <v>35</v>
      </c>
      <c r="AH64">
        <v>10</v>
      </c>
      <c r="AI64">
        <v>31</v>
      </c>
      <c r="AJ64">
        <v>6</v>
      </c>
      <c r="AK64">
        <v>22</v>
      </c>
      <c r="AL64">
        <v>19</v>
      </c>
      <c r="AM64">
        <v>26</v>
      </c>
      <c r="AN64">
        <v>0</v>
      </c>
      <c r="AO64">
        <v>27</v>
      </c>
      <c r="AP64">
        <v>40</v>
      </c>
      <c r="AQ64">
        <v>20</v>
      </c>
      <c r="AR64">
        <v>44</v>
      </c>
      <c r="AS64">
        <v>31</v>
      </c>
      <c r="AT64">
        <v>35</v>
      </c>
      <c r="AU64">
        <v>18</v>
      </c>
      <c r="AV64">
        <v>17</v>
      </c>
      <c r="AW64">
        <v>24</v>
      </c>
      <c r="AX64">
        <v>23</v>
      </c>
      <c r="AY64">
        <v>22</v>
      </c>
      <c r="AZ64">
        <v>17</v>
      </c>
      <c r="BA64">
        <v>10</v>
      </c>
      <c r="BB64">
        <v>0</v>
      </c>
      <c r="BC64">
        <v>16</v>
      </c>
      <c r="BD64">
        <v>31</v>
      </c>
      <c r="BE64">
        <v>45</v>
      </c>
      <c r="BF64">
        <v>15</v>
      </c>
      <c r="BG64">
        <v>20</v>
      </c>
      <c r="BH64">
        <v>28</v>
      </c>
      <c r="BI64">
        <v>36</v>
      </c>
      <c r="BJ64">
        <v>52</v>
      </c>
      <c r="BK64">
        <v>33</v>
      </c>
      <c r="BL64">
        <v>5</v>
      </c>
      <c r="BM64">
        <v>13</v>
      </c>
      <c r="BN64">
        <v>32</v>
      </c>
      <c r="BO64">
        <v>26</v>
      </c>
      <c r="BP64">
        <v>0</v>
      </c>
      <c r="BQ64">
        <v>22</v>
      </c>
      <c r="BR64">
        <v>0</v>
      </c>
      <c r="BS64">
        <v>56</v>
      </c>
      <c r="BU64" s="1">
        <f>AVERAGE(Table9[[#This Row],[1-Jan-21]:[1-Dec-25]])</f>
        <v>23.783333333333335</v>
      </c>
    </row>
    <row r="65" spans="1:73" x14ac:dyDescent="0.55000000000000004">
      <c r="A65">
        <v>64</v>
      </c>
      <c r="B65" t="s">
        <v>71</v>
      </c>
      <c r="C65" t="s">
        <v>72</v>
      </c>
      <c r="D65" t="s">
        <v>73</v>
      </c>
      <c r="E65" t="s">
        <v>151</v>
      </c>
      <c r="F65">
        <v>111401</v>
      </c>
      <c r="G65" t="s">
        <v>169</v>
      </c>
      <c r="H65" t="s">
        <v>76</v>
      </c>
      <c r="I65" t="s">
        <v>80</v>
      </c>
      <c r="J65">
        <v>713.04</v>
      </c>
      <c r="K65">
        <v>22</v>
      </c>
      <c r="L65">
        <v>152</v>
      </c>
      <c r="M65">
        <v>24</v>
      </c>
      <c r="N65">
        <v>113</v>
      </c>
      <c r="O65">
        <v>177</v>
      </c>
      <c r="P65">
        <v>140</v>
      </c>
      <c r="Q65">
        <v>90</v>
      </c>
      <c r="R65">
        <v>20</v>
      </c>
      <c r="S65">
        <v>108</v>
      </c>
      <c r="T65">
        <v>298</v>
      </c>
      <c r="U65">
        <v>18</v>
      </c>
      <c r="V65">
        <v>40</v>
      </c>
      <c r="W65">
        <v>86</v>
      </c>
      <c r="X65">
        <v>106</v>
      </c>
      <c r="Y65">
        <v>142</v>
      </c>
      <c r="Z65">
        <v>262</v>
      </c>
      <c r="AA65">
        <v>178</v>
      </c>
      <c r="AB65">
        <v>159</v>
      </c>
      <c r="AC65">
        <v>10</v>
      </c>
      <c r="AD65">
        <v>4</v>
      </c>
      <c r="AE65">
        <v>0</v>
      </c>
      <c r="AF65">
        <v>24</v>
      </c>
      <c r="AG65">
        <v>4</v>
      </c>
      <c r="AH65">
        <v>6</v>
      </c>
      <c r="AI65">
        <v>73</v>
      </c>
      <c r="AJ65">
        <v>44</v>
      </c>
      <c r="AK65">
        <v>118</v>
      </c>
      <c r="AL65">
        <v>44</v>
      </c>
      <c r="AM65">
        <v>56</v>
      </c>
      <c r="AN65">
        <v>84</v>
      </c>
      <c r="AO65">
        <v>24</v>
      </c>
      <c r="AP65">
        <v>18</v>
      </c>
      <c r="AQ65">
        <v>48</v>
      </c>
      <c r="AR65">
        <v>36</v>
      </c>
      <c r="AS65">
        <v>23</v>
      </c>
      <c r="AT65">
        <v>46</v>
      </c>
      <c r="AU65">
        <v>66</v>
      </c>
      <c r="AV65">
        <v>88</v>
      </c>
      <c r="AW65">
        <v>16</v>
      </c>
      <c r="AX65">
        <v>8</v>
      </c>
      <c r="AY65">
        <v>22</v>
      </c>
      <c r="AZ65">
        <v>20</v>
      </c>
      <c r="BA65">
        <v>88</v>
      </c>
      <c r="BB65">
        <v>20</v>
      </c>
      <c r="BC65">
        <v>82</v>
      </c>
      <c r="BD65">
        <v>24</v>
      </c>
      <c r="BE65">
        <v>102</v>
      </c>
      <c r="BF65">
        <v>23</v>
      </c>
      <c r="BG65">
        <v>98</v>
      </c>
      <c r="BH65">
        <v>28</v>
      </c>
      <c r="BI65">
        <v>36</v>
      </c>
      <c r="BJ65">
        <v>28</v>
      </c>
      <c r="BK65">
        <v>122</v>
      </c>
      <c r="BL65">
        <v>18</v>
      </c>
      <c r="BM65">
        <v>44</v>
      </c>
      <c r="BN65">
        <v>86</v>
      </c>
      <c r="BO65">
        <v>28</v>
      </c>
      <c r="BP65">
        <v>22</v>
      </c>
      <c r="BQ65">
        <v>55</v>
      </c>
      <c r="BR65">
        <v>12</v>
      </c>
      <c r="BS65">
        <v>59</v>
      </c>
      <c r="BU65" s="1">
        <f>AVERAGE(Table9[[#This Row],[1-Jan-21]:[1-Dec-25]])</f>
        <v>65.55</v>
      </c>
    </row>
    <row r="66" spans="1:73" x14ac:dyDescent="0.55000000000000004">
      <c r="A66">
        <v>65</v>
      </c>
      <c r="B66" t="s">
        <v>71</v>
      </c>
      <c r="C66" t="s">
        <v>72</v>
      </c>
      <c r="D66" t="s">
        <v>73</v>
      </c>
      <c r="E66" t="s">
        <v>170</v>
      </c>
      <c r="F66">
        <v>110437</v>
      </c>
      <c r="G66" t="s">
        <v>171</v>
      </c>
      <c r="H66" t="s">
        <v>76</v>
      </c>
      <c r="I66" t="s">
        <v>105</v>
      </c>
      <c r="J66">
        <v>11.08</v>
      </c>
      <c r="K66">
        <v>2105</v>
      </c>
      <c r="L66">
        <v>1075</v>
      </c>
      <c r="M66">
        <v>1443</v>
      </c>
      <c r="N66">
        <v>1772</v>
      </c>
      <c r="O66">
        <v>3306</v>
      </c>
      <c r="P66">
        <v>3190</v>
      </c>
      <c r="Q66">
        <v>2359</v>
      </c>
      <c r="R66">
        <v>1880</v>
      </c>
      <c r="S66">
        <v>2004</v>
      </c>
      <c r="T66">
        <v>1816</v>
      </c>
      <c r="U66">
        <v>2322</v>
      </c>
      <c r="V66">
        <v>1486</v>
      </c>
      <c r="W66">
        <v>965</v>
      </c>
      <c r="X66">
        <v>1165</v>
      </c>
      <c r="Y66">
        <v>2862</v>
      </c>
      <c r="Z66">
        <v>1668</v>
      </c>
      <c r="AA66">
        <v>1626</v>
      </c>
      <c r="AB66">
        <v>3543</v>
      </c>
      <c r="AC66">
        <v>1081</v>
      </c>
      <c r="AD66">
        <v>1096</v>
      </c>
      <c r="AE66">
        <v>648</v>
      </c>
      <c r="AF66">
        <v>2138</v>
      </c>
      <c r="AG66">
        <v>1436</v>
      </c>
      <c r="AH66">
        <v>1258</v>
      </c>
      <c r="AI66">
        <v>1447</v>
      </c>
      <c r="AJ66">
        <v>1442</v>
      </c>
      <c r="AK66">
        <v>2382</v>
      </c>
      <c r="AL66">
        <v>1101</v>
      </c>
      <c r="AM66">
        <v>1601</v>
      </c>
      <c r="AN66">
        <v>1626</v>
      </c>
      <c r="AO66">
        <v>2324</v>
      </c>
      <c r="AP66">
        <v>864</v>
      </c>
      <c r="AQ66">
        <v>1967</v>
      </c>
      <c r="AR66">
        <v>2722</v>
      </c>
      <c r="AS66">
        <v>1746</v>
      </c>
      <c r="AT66">
        <v>890</v>
      </c>
      <c r="AU66">
        <v>2627</v>
      </c>
      <c r="AV66">
        <v>997</v>
      </c>
      <c r="AW66">
        <v>2766</v>
      </c>
      <c r="AX66">
        <v>2676</v>
      </c>
      <c r="AY66">
        <v>3207</v>
      </c>
      <c r="AZ66">
        <v>1499</v>
      </c>
      <c r="BA66">
        <v>2023</v>
      </c>
      <c r="BB66">
        <v>2963</v>
      </c>
      <c r="BC66">
        <v>4386</v>
      </c>
      <c r="BD66">
        <v>2423</v>
      </c>
      <c r="BE66">
        <v>4144</v>
      </c>
      <c r="BF66">
        <v>2997</v>
      </c>
      <c r="BG66">
        <v>1819</v>
      </c>
      <c r="BH66">
        <v>4972</v>
      </c>
      <c r="BI66">
        <v>2732</v>
      </c>
      <c r="BJ66">
        <v>3916</v>
      </c>
      <c r="BK66">
        <v>1636</v>
      </c>
      <c r="BL66">
        <v>813</v>
      </c>
      <c r="BM66">
        <v>2987</v>
      </c>
      <c r="BN66">
        <v>5217</v>
      </c>
      <c r="BO66">
        <v>3042</v>
      </c>
      <c r="BP66">
        <v>4100</v>
      </c>
      <c r="BQ66">
        <v>2530</v>
      </c>
      <c r="BR66">
        <v>1882</v>
      </c>
      <c r="BS66">
        <v>60</v>
      </c>
      <c r="BU66" s="1">
        <f>AVERAGE(Table9[[#This Row],[1-Jan-21]:[1-Dec-25]])</f>
        <v>2211.8333333333335</v>
      </c>
    </row>
    <row r="67" spans="1:73" x14ac:dyDescent="0.55000000000000004">
      <c r="A67">
        <v>66</v>
      </c>
      <c r="B67" t="s">
        <v>71</v>
      </c>
      <c r="C67" t="s">
        <v>72</v>
      </c>
      <c r="D67" t="s">
        <v>73</v>
      </c>
      <c r="E67" t="s">
        <v>89</v>
      </c>
      <c r="F67">
        <v>109162</v>
      </c>
      <c r="G67" t="s">
        <v>172</v>
      </c>
      <c r="H67" t="s">
        <v>76</v>
      </c>
      <c r="I67" t="s">
        <v>80</v>
      </c>
      <c r="J67">
        <v>173.68</v>
      </c>
      <c r="K67">
        <v>22</v>
      </c>
      <c r="L67">
        <v>10</v>
      </c>
      <c r="M67">
        <v>15</v>
      </c>
      <c r="N67">
        <v>6</v>
      </c>
      <c r="O67">
        <v>0</v>
      </c>
      <c r="P67">
        <v>16</v>
      </c>
      <c r="Q67">
        <v>6</v>
      </c>
      <c r="R67">
        <v>14</v>
      </c>
      <c r="S67">
        <v>0</v>
      </c>
      <c r="T67">
        <v>0</v>
      </c>
      <c r="U67">
        <v>10</v>
      </c>
      <c r="V67">
        <v>2</v>
      </c>
      <c r="W67">
        <v>8</v>
      </c>
      <c r="X67">
        <v>8</v>
      </c>
      <c r="Y67">
        <v>2</v>
      </c>
      <c r="Z67">
        <v>2</v>
      </c>
      <c r="AA67">
        <v>0</v>
      </c>
      <c r="AB67">
        <v>9</v>
      </c>
      <c r="AC67">
        <v>4</v>
      </c>
      <c r="AD67">
        <v>4</v>
      </c>
      <c r="AE67">
        <v>0</v>
      </c>
      <c r="AF67">
        <v>4</v>
      </c>
      <c r="AG67">
        <v>4</v>
      </c>
      <c r="AH67">
        <v>2</v>
      </c>
      <c r="AI67">
        <v>2</v>
      </c>
      <c r="AJ67">
        <v>2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5</v>
      </c>
      <c r="AX67">
        <v>1</v>
      </c>
      <c r="AY67">
        <v>1</v>
      </c>
      <c r="AZ67">
        <v>1</v>
      </c>
      <c r="BA67">
        <v>0</v>
      </c>
      <c r="BB67">
        <v>5</v>
      </c>
      <c r="BC67">
        <v>0</v>
      </c>
      <c r="BD67">
        <v>7</v>
      </c>
      <c r="BE67">
        <v>6</v>
      </c>
      <c r="BF67">
        <v>0</v>
      </c>
      <c r="BG67">
        <v>6</v>
      </c>
      <c r="BH67">
        <v>6</v>
      </c>
      <c r="BI67">
        <v>0</v>
      </c>
      <c r="BJ67">
        <v>5</v>
      </c>
      <c r="BK67">
        <v>1</v>
      </c>
      <c r="BL67">
        <v>6</v>
      </c>
      <c r="BM67">
        <v>12</v>
      </c>
      <c r="BN67">
        <v>2</v>
      </c>
      <c r="BO67">
        <v>0</v>
      </c>
      <c r="BP67">
        <v>0</v>
      </c>
      <c r="BQ67">
        <v>7</v>
      </c>
      <c r="BR67">
        <v>0</v>
      </c>
      <c r="BS67">
        <v>40</v>
      </c>
      <c r="BU67" s="1">
        <f>AVERAGE(Table9[[#This Row],[1-Jan-21]:[1-Dec-25]])</f>
        <v>3.7833333333333332</v>
      </c>
    </row>
    <row r="68" spans="1:73" x14ac:dyDescent="0.55000000000000004">
      <c r="A68">
        <v>67</v>
      </c>
      <c r="B68" t="s">
        <v>71</v>
      </c>
      <c r="C68" t="s">
        <v>72</v>
      </c>
      <c r="D68" t="s">
        <v>73</v>
      </c>
      <c r="E68" t="s">
        <v>103</v>
      </c>
      <c r="F68">
        <v>110634</v>
      </c>
      <c r="G68" t="s">
        <v>173</v>
      </c>
      <c r="H68" t="s">
        <v>76</v>
      </c>
      <c r="I68" t="s">
        <v>105</v>
      </c>
      <c r="J68">
        <v>38.21</v>
      </c>
      <c r="K68">
        <v>230</v>
      </c>
      <c r="L68">
        <v>179</v>
      </c>
      <c r="M68">
        <v>266</v>
      </c>
      <c r="N68">
        <v>290</v>
      </c>
      <c r="O68">
        <v>125</v>
      </c>
      <c r="P68">
        <v>502</v>
      </c>
      <c r="Q68">
        <v>135</v>
      </c>
      <c r="R68">
        <v>475</v>
      </c>
      <c r="S68">
        <v>470</v>
      </c>
      <c r="T68">
        <v>300</v>
      </c>
      <c r="U68">
        <v>270</v>
      </c>
      <c r="V68">
        <v>485</v>
      </c>
      <c r="W68">
        <v>220</v>
      </c>
      <c r="X68">
        <v>217</v>
      </c>
      <c r="Y68">
        <v>112</v>
      </c>
      <c r="Z68">
        <v>495</v>
      </c>
      <c r="AA68">
        <v>595</v>
      </c>
      <c r="AB68">
        <v>275</v>
      </c>
      <c r="AC68">
        <v>60</v>
      </c>
      <c r="AD68">
        <v>0</v>
      </c>
      <c r="AE68">
        <v>65</v>
      </c>
      <c r="AF68">
        <v>122</v>
      </c>
      <c r="AG68">
        <v>464</v>
      </c>
      <c r="AH68">
        <v>75</v>
      </c>
      <c r="AI68">
        <v>107</v>
      </c>
      <c r="AJ68">
        <v>87</v>
      </c>
      <c r="AK68">
        <v>176</v>
      </c>
      <c r="AL68">
        <v>50</v>
      </c>
      <c r="AM68">
        <v>7</v>
      </c>
      <c r="AN68">
        <v>85</v>
      </c>
      <c r="AO68">
        <v>35</v>
      </c>
      <c r="AP68">
        <v>0</v>
      </c>
      <c r="AQ68">
        <v>50</v>
      </c>
      <c r="AR68">
        <v>0</v>
      </c>
      <c r="AS68">
        <v>43</v>
      </c>
      <c r="AT68">
        <v>100</v>
      </c>
      <c r="AU68">
        <v>140</v>
      </c>
      <c r="AV68">
        <v>46</v>
      </c>
      <c r="AW68">
        <v>70</v>
      </c>
      <c r="AX68">
        <v>15</v>
      </c>
      <c r="AY68">
        <v>92</v>
      </c>
      <c r="AZ68">
        <v>110</v>
      </c>
      <c r="BA68">
        <v>0</v>
      </c>
      <c r="BB68">
        <v>0</v>
      </c>
      <c r="BC68">
        <v>102</v>
      </c>
      <c r="BD68">
        <v>40</v>
      </c>
      <c r="BE68">
        <v>0</v>
      </c>
      <c r="BF68">
        <v>235</v>
      </c>
      <c r="BG68">
        <v>156.5</v>
      </c>
      <c r="BH68">
        <v>205</v>
      </c>
      <c r="BI68">
        <v>50</v>
      </c>
      <c r="BJ68">
        <v>160</v>
      </c>
      <c r="BK68">
        <v>482.5</v>
      </c>
      <c r="BL68">
        <v>95</v>
      </c>
      <c r="BM68">
        <v>50</v>
      </c>
      <c r="BN68">
        <v>290</v>
      </c>
      <c r="BO68">
        <v>32</v>
      </c>
      <c r="BP68">
        <v>40</v>
      </c>
      <c r="BQ68">
        <v>70</v>
      </c>
      <c r="BR68">
        <v>114</v>
      </c>
      <c r="BS68">
        <v>54</v>
      </c>
      <c r="BU68" s="1">
        <f>AVERAGE(Table9[[#This Row],[1-Jan-21]:[1-Dec-25]])</f>
        <v>162.69999999999999</v>
      </c>
    </row>
    <row r="69" spans="1:73" x14ac:dyDescent="0.55000000000000004">
      <c r="A69">
        <v>68</v>
      </c>
      <c r="B69" t="s">
        <v>71</v>
      </c>
      <c r="C69" t="s">
        <v>72</v>
      </c>
      <c r="D69" t="s">
        <v>73</v>
      </c>
      <c r="E69" t="s">
        <v>101</v>
      </c>
      <c r="F69">
        <v>108956</v>
      </c>
      <c r="G69" t="s">
        <v>174</v>
      </c>
      <c r="H69" t="s">
        <v>76</v>
      </c>
      <c r="I69" t="s">
        <v>80</v>
      </c>
      <c r="J69">
        <v>5.14</v>
      </c>
      <c r="K69">
        <v>174</v>
      </c>
      <c r="L69">
        <v>280</v>
      </c>
      <c r="M69">
        <v>200</v>
      </c>
      <c r="N69">
        <v>275</v>
      </c>
      <c r="O69">
        <v>0</v>
      </c>
      <c r="P69">
        <v>0</v>
      </c>
      <c r="Q69">
        <v>0</v>
      </c>
      <c r="R69">
        <v>50</v>
      </c>
      <c r="S69">
        <v>151</v>
      </c>
      <c r="T69">
        <v>150</v>
      </c>
      <c r="U69">
        <v>214</v>
      </c>
      <c r="V69">
        <v>0</v>
      </c>
      <c r="W69">
        <v>200</v>
      </c>
      <c r="X69">
        <v>50</v>
      </c>
      <c r="Y69">
        <v>0</v>
      </c>
      <c r="Z69">
        <v>50</v>
      </c>
      <c r="AA69">
        <v>100</v>
      </c>
      <c r="AB69">
        <v>60</v>
      </c>
      <c r="AC69">
        <v>0</v>
      </c>
      <c r="AD69">
        <v>100</v>
      </c>
      <c r="AE69">
        <v>400</v>
      </c>
      <c r="AF69">
        <v>100</v>
      </c>
      <c r="AG69">
        <v>250</v>
      </c>
      <c r="AH69">
        <v>100</v>
      </c>
      <c r="AI69">
        <v>320</v>
      </c>
      <c r="AJ69">
        <v>100</v>
      </c>
      <c r="AK69">
        <v>0</v>
      </c>
      <c r="AL69">
        <v>0</v>
      </c>
      <c r="AM69">
        <v>0</v>
      </c>
      <c r="AN69">
        <v>10</v>
      </c>
      <c r="AO69">
        <v>325</v>
      </c>
      <c r="AP69">
        <v>40</v>
      </c>
      <c r="AQ69">
        <v>130</v>
      </c>
      <c r="AR69">
        <v>0</v>
      </c>
      <c r="AS69">
        <v>182</v>
      </c>
      <c r="AT69">
        <v>0</v>
      </c>
      <c r="AU69">
        <v>200</v>
      </c>
      <c r="AV69">
        <v>194</v>
      </c>
      <c r="AW69">
        <v>150</v>
      </c>
      <c r="AX69">
        <v>0</v>
      </c>
      <c r="AY69">
        <v>42</v>
      </c>
      <c r="AZ69">
        <v>100</v>
      </c>
      <c r="BA69">
        <v>0</v>
      </c>
      <c r="BB69">
        <v>900</v>
      </c>
      <c r="BC69">
        <v>50</v>
      </c>
      <c r="BD69">
        <v>200</v>
      </c>
      <c r="BE69">
        <v>0</v>
      </c>
      <c r="BF69">
        <v>0</v>
      </c>
      <c r="BG69">
        <v>100</v>
      </c>
      <c r="BH69">
        <v>0</v>
      </c>
      <c r="BI69">
        <v>0</v>
      </c>
      <c r="BJ69">
        <v>180</v>
      </c>
      <c r="BK69">
        <v>0</v>
      </c>
      <c r="BL69">
        <v>300</v>
      </c>
      <c r="BM69">
        <v>462</v>
      </c>
      <c r="BN69">
        <v>14</v>
      </c>
      <c r="BO69">
        <v>30</v>
      </c>
      <c r="BP69">
        <v>110</v>
      </c>
      <c r="BQ69">
        <v>150</v>
      </c>
      <c r="BR69">
        <v>102</v>
      </c>
      <c r="BS69">
        <v>42</v>
      </c>
      <c r="BU69" s="1">
        <f>AVERAGE(Table9[[#This Row],[1-Jan-21]:[1-Dec-25]])</f>
        <v>121.58333333333333</v>
      </c>
    </row>
    <row r="70" spans="1:73" x14ac:dyDescent="0.55000000000000004">
      <c r="A70">
        <v>69</v>
      </c>
      <c r="B70" t="s">
        <v>71</v>
      </c>
      <c r="C70" t="s">
        <v>72</v>
      </c>
      <c r="D70" t="s">
        <v>73</v>
      </c>
      <c r="E70" t="s">
        <v>109</v>
      </c>
      <c r="F70">
        <v>109712</v>
      </c>
      <c r="G70" t="s">
        <v>175</v>
      </c>
      <c r="H70" t="s">
        <v>76</v>
      </c>
      <c r="I70" t="s">
        <v>80</v>
      </c>
      <c r="J70">
        <v>30642.37</v>
      </c>
      <c r="K70">
        <v>7</v>
      </c>
      <c r="L70">
        <v>15</v>
      </c>
      <c r="M70">
        <v>16</v>
      </c>
      <c r="N70">
        <v>15</v>
      </c>
      <c r="O70">
        <v>10</v>
      </c>
      <c r="P70">
        <v>18</v>
      </c>
      <c r="Q70">
        <v>6</v>
      </c>
      <c r="R70">
        <v>9</v>
      </c>
      <c r="S70">
        <v>14</v>
      </c>
      <c r="T70">
        <v>22</v>
      </c>
      <c r="U70">
        <v>11</v>
      </c>
      <c r="V70">
        <v>14</v>
      </c>
      <c r="W70">
        <v>9</v>
      </c>
      <c r="X70">
        <v>12</v>
      </c>
      <c r="Y70">
        <v>22</v>
      </c>
      <c r="Z70">
        <v>20</v>
      </c>
      <c r="AA70">
        <v>9</v>
      </c>
      <c r="AB70">
        <v>20</v>
      </c>
      <c r="AC70">
        <v>8</v>
      </c>
      <c r="AD70">
        <v>4</v>
      </c>
      <c r="AE70">
        <v>17</v>
      </c>
      <c r="AF70">
        <v>10</v>
      </c>
      <c r="AG70">
        <v>11</v>
      </c>
      <c r="AH70">
        <v>13</v>
      </c>
      <c r="AI70">
        <v>5</v>
      </c>
      <c r="AJ70">
        <v>9</v>
      </c>
      <c r="AK70">
        <v>15</v>
      </c>
      <c r="AL70">
        <v>10</v>
      </c>
      <c r="AM70">
        <v>23</v>
      </c>
      <c r="AN70">
        <v>11</v>
      </c>
      <c r="AO70">
        <v>14</v>
      </c>
      <c r="AP70">
        <v>7</v>
      </c>
      <c r="AQ70">
        <v>8</v>
      </c>
      <c r="AR70">
        <v>8</v>
      </c>
      <c r="AS70">
        <v>7</v>
      </c>
      <c r="AT70">
        <v>6</v>
      </c>
      <c r="AU70">
        <v>4</v>
      </c>
      <c r="AV70">
        <v>15</v>
      </c>
      <c r="AW70">
        <v>8</v>
      </c>
      <c r="AX70">
        <v>20</v>
      </c>
      <c r="AY70">
        <v>9</v>
      </c>
      <c r="AZ70">
        <v>12</v>
      </c>
      <c r="BA70">
        <v>8</v>
      </c>
      <c r="BB70">
        <v>6</v>
      </c>
      <c r="BC70">
        <v>9</v>
      </c>
      <c r="BD70">
        <v>6</v>
      </c>
      <c r="BE70">
        <v>2</v>
      </c>
      <c r="BF70">
        <v>14</v>
      </c>
      <c r="BG70">
        <v>13</v>
      </c>
      <c r="BH70">
        <v>10</v>
      </c>
      <c r="BI70">
        <v>5</v>
      </c>
      <c r="BJ70">
        <v>10</v>
      </c>
      <c r="BK70">
        <v>6</v>
      </c>
      <c r="BL70">
        <v>4</v>
      </c>
      <c r="BM70">
        <v>7</v>
      </c>
      <c r="BN70">
        <v>8</v>
      </c>
      <c r="BO70">
        <v>8</v>
      </c>
      <c r="BP70">
        <v>4</v>
      </c>
      <c r="BQ70">
        <v>6</v>
      </c>
      <c r="BR70">
        <v>2</v>
      </c>
      <c r="BS70">
        <v>60</v>
      </c>
      <c r="BU70" s="1">
        <f>AVERAGE(Table9[[#This Row],[1-Jan-21]:[1-Dec-25]])</f>
        <v>10.516666666666667</v>
      </c>
    </row>
    <row r="71" spans="1:73" x14ac:dyDescent="0.55000000000000004">
      <c r="A71">
        <v>70</v>
      </c>
      <c r="B71" t="s">
        <v>71</v>
      </c>
      <c r="C71" t="s">
        <v>72</v>
      </c>
      <c r="D71" t="s">
        <v>73</v>
      </c>
      <c r="E71" t="s">
        <v>111</v>
      </c>
      <c r="F71">
        <v>109829</v>
      </c>
      <c r="G71" t="s">
        <v>176</v>
      </c>
      <c r="H71" t="s">
        <v>76</v>
      </c>
      <c r="I71" t="s">
        <v>105</v>
      </c>
      <c r="J71">
        <v>81.17</v>
      </c>
      <c r="K71">
        <v>80</v>
      </c>
      <c r="L71">
        <v>18</v>
      </c>
      <c r="M71">
        <v>32</v>
      </c>
      <c r="N71">
        <v>114</v>
      </c>
      <c r="O71">
        <v>165.5</v>
      </c>
      <c r="P71">
        <v>130.816</v>
      </c>
      <c r="Q71">
        <v>40</v>
      </c>
      <c r="R71">
        <v>5</v>
      </c>
      <c r="S71">
        <v>32</v>
      </c>
      <c r="T71">
        <v>52.4</v>
      </c>
      <c r="U71">
        <v>94.73</v>
      </c>
      <c r="V71">
        <v>144.41999999999999</v>
      </c>
      <c r="W71">
        <v>77.739999999999995</v>
      </c>
      <c r="X71">
        <v>132.404</v>
      </c>
      <c r="Y71">
        <v>12</v>
      </c>
      <c r="Z71">
        <v>152</v>
      </c>
      <c r="AA71">
        <v>4</v>
      </c>
      <c r="AB71">
        <v>46</v>
      </c>
      <c r="AC71">
        <v>0</v>
      </c>
      <c r="AD71">
        <v>6</v>
      </c>
      <c r="AE71">
        <v>12</v>
      </c>
      <c r="AF71">
        <v>90</v>
      </c>
      <c r="AG71">
        <v>80</v>
      </c>
      <c r="AH71">
        <v>61</v>
      </c>
      <c r="AI71">
        <v>15</v>
      </c>
      <c r="AJ71">
        <v>0</v>
      </c>
      <c r="AK71">
        <v>0</v>
      </c>
      <c r="AL71">
        <v>0</v>
      </c>
      <c r="AM71">
        <v>82</v>
      </c>
      <c r="AN71">
        <v>73</v>
      </c>
      <c r="AO71">
        <v>15.5</v>
      </c>
      <c r="AP71">
        <v>46</v>
      </c>
      <c r="AQ71">
        <v>0</v>
      </c>
      <c r="AR71">
        <v>4</v>
      </c>
      <c r="AS71">
        <v>49</v>
      </c>
      <c r="AT71">
        <v>44.5</v>
      </c>
      <c r="AU71">
        <v>40</v>
      </c>
      <c r="AV71">
        <v>0</v>
      </c>
      <c r="AW71">
        <v>15</v>
      </c>
      <c r="AX71">
        <v>15</v>
      </c>
      <c r="AY71">
        <v>35</v>
      </c>
      <c r="AZ71">
        <v>0</v>
      </c>
      <c r="BA71">
        <v>0</v>
      </c>
      <c r="BB71">
        <v>40</v>
      </c>
      <c r="BC71">
        <v>40</v>
      </c>
      <c r="BD71">
        <v>44</v>
      </c>
      <c r="BE71">
        <v>0</v>
      </c>
      <c r="BF71">
        <v>20</v>
      </c>
      <c r="BG71">
        <v>0</v>
      </c>
      <c r="BH71">
        <v>52.5</v>
      </c>
      <c r="BI71">
        <v>8</v>
      </c>
      <c r="BJ71">
        <v>78.5</v>
      </c>
      <c r="BK71">
        <v>0</v>
      </c>
      <c r="BL71">
        <v>0</v>
      </c>
      <c r="BM71">
        <v>6</v>
      </c>
      <c r="BN71">
        <v>30</v>
      </c>
      <c r="BO71">
        <v>22</v>
      </c>
      <c r="BP71">
        <v>0</v>
      </c>
      <c r="BQ71">
        <v>55</v>
      </c>
      <c r="BR71">
        <v>70</v>
      </c>
      <c r="BS71">
        <v>47</v>
      </c>
      <c r="BU71" s="1">
        <f>AVERAGE(Table9[[#This Row],[1-Jan-21]:[1-Dec-25]])</f>
        <v>41.366833333333339</v>
      </c>
    </row>
    <row r="72" spans="1:73" x14ac:dyDescent="0.55000000000000004">
      <c r="A72">
        <v>71</v>
      </c>
      <c r="B72" t="s">
        <v>71</v>
      </c>
      <c r="C72" t="s">
        <v>72</v>
      </c>
      <c r="D72" t="s">
        <v>73</v>
      </c>
      <c r="E72" t="s">
        <v>177</v>
      </c>
      <c r="F72">
        <v>134673</v>
      </c>
      <c r="G72" t="s">
        <v>178</v>
      </c>
      <c r="H72" t="s">
        <v>76</v>
      </c>
      <c r="I72" t="s">
        <v>80</v>
      </c>
      <c r="J72">
        <v>9263.15</v>
      </c>
      <c r="K72">
        <v>3</v>
      </c>
      <c r="L72">
        <v>0</v>
      </c>
      <c r="M72">
        <v>18</v>
      </c>
      <c r="N72">
        <v>12</v>
      </c>
      <c r="O72">
        <v>9</v>
      </c>
      <c r="P72">
        <v>12</v>
      </c>
      <c r="Q72">
        <v>5</v>
      </c>
      <c r="R72">
        <v>15</v>
      </c>
      <c r="S72">
        <v>4</v>
      </c>
      <c r="T72">
        <v>4</v>
      </c>
      <c r="U72">
        <v>2</v>
      </c>
      <c r="V72">
        <v>12</v>
      </c>
      <c r="W72">
        <v>14</v>
      </c>
      <c r="X72">
        <v>7</v>
      </c>
      <c r="Y72">
        <v>17</v>
      </c>
      <c r="Z72">
        <v>6</v>
      </c>
      <c r="AA72">
        <v>5</v>
      </c>
      <c r="AB72">
        <v>10</v>
      </c>
      <c r="AC72">
        <v>4</v>
      </c>
      <c r="AD72">
        <v>0</v>
      </c>
      <c r="AE72">
        <v>4</v>
      </c>
      <c r="AF72">
        <v>5</v>
      </c>
      <c r="AG72">
        <v>0</v>
      </c>
      <c r="AH72">
        <v>9</v>
      </c>
      <c r="AI72">
        <v>0</v>
      </c>
      <c r="AJ72">
        <v>25</v>
      </c>
      <c r="AK72">
        <v>0</v>
      </c>
      <c r="AL72">
        <v>0</v>
      </c>
      <c r="AM72">
        <v>4</v>
      </c>
      <c r="AN72">
        <v>0</v>
      </c>
      <c r="AO72">
        <v>0</v>
      </c>
      <c r="AP72">
        <v>4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5</v>
      </c>
      <c r="AW72">
        <v>1</v>
      </c>
      <c r="AX72">
        <v>1</v>
      </c>
      <c r="AY72">
        <v>13</v>
      </c>
      <c r="AZ72">
        <v>12</v>
      </c>
      <c r="BA72">
        <v>14</v>
      </c>
      <c r="BB72">
        <v>0</v>
      </c>
      <c r="BC72">
        <v>17</v>
      </c>
      <c r="BD72">
        <v>1</v>
      </c>
      <c r="BE72">
        <v>2</v>
      </c>
      <c r="BF72">
        <v>0</v>
      </c>
      <c r="BG72">
        <v>6</v>
      </c>
      <c r="BH72">
        <v>13</v>
      </c>
      <c r="BI72">
        <v>4</v>
      </c>
      <c r="BJ72">
        <v>6</v>
      </c>
      <c r="BK72">
        <v>9</v>
      </c>
      <c r="BL72">
        <v>6</v>
      </c>
      <c r="BM72">
        <v>0</v>
      </c>
      <c r="BN72">
        <v>3</v>
      </c>
      <c r="BO72">
        <v>10</v>
      </c>
      <c r="BP72">
        <v>0</v>
      </c>
      <c r="BQ72">
        <v>10</v>
      </c>
      <c r="BR72">
        <v>0</v>
      </c>
      <c r="BS72">
        <v>43</v>
      </c>
      <c r="BU72" s="1">
        <f>AVERAGE(Table9[[#This Row],[1-Jan-21]:[1-Dec-25]])</f>
        <v>5.75</v>
      </c>
    </row>
    <row r="73" spans="1:73" x14ac:dyDescent="0.55000000000000004">
      <c r="A73">
        <v>72</v>
      </c>
      <c r="B73" t="s">
        <v>71</v>
      </c>
      <c r="C73" t="s">
        <v>72</v>
      </c>
      <c r="D73" t="s">
        <v>73</v>
      </c>
      <c r="E73" t="s">
        <v>114</v>
      </c>
      <c r="F73">
        <v>109626</v>
      </c>
      <c r="G73" t="s">
        <v>179</v>
      </c>
      <c r="H73" t="s">
        <v>76</v>
      </c>
      <c r="I73" t="s">
        <v>80</v>
      </c>
      <c r="J73">
        <v>21.17</v>
      </c>
      <c r="K73">
        <v>22</v>
      </c>
      <c r="L73">
        <v>12</v>
      </c>
      <c r="M73">
        <v>23</v>
      </c>
      <c r="N73">
        <v>4</v>
      </c>
      <c r="O73">
        <v>10</v>
      </c>
      <c r="P73">
        <v>3</v>
      </c>
      <c r="Q73">
        <v>0</v>
      </c>
      <c r="R73">
        <v>0</v>
      </c>
      <c r="S73">
        <v>49</v>
      </c>
      <c r="T73">
        <v>4</v>
      </c>
      <c r="U73">
        <v>5</v>
      </c>
      <c r="V73">
        <v>25</v>
      </c>
      <c r="W73">
        <v>9</v>
      </c>
      <c r="X73">
        <v>0</v>
      </c>
      <c r="Y73">
        <v>13</v>
      </c>
      <c r="Z73">
        <v>0</v>
      </c>
      <c r="AA73">
        <v>12</v>
      </c>
      <c r="AB73">
        <v>8</v>
      </c>
      <c r="AC73">
        <v>10</v>
      </c>
      <c r="AD73">
        <v>0</v>
      </c>
      <c r="AE73">
        <v>5</v>
      </c>
      <c r="AF73">
        <v>2</v>
      </c>
      <c r="AG73">
        <v>12</v>
      </c>
      <c r="AH73">
        <v>0</v>
      </c>
      <c r="AI73">
        <v>5</v>
      </c>
      <c r="AJ73">
        <v>8</v>
      </c>
      <c r="AK73">
        <v>0</v>
      </c>
      <c r="AL73">
        <v>0</v>
      </c>
      <c r="AM73">
        <v>2</v>
      </c>
      <c r="AN73">
        <v>18</v>
      </c>
      <c r="AO73">
        <v>8</v>
      </c>
      <c r="AP73">
        <v>10</v>
      </c>
      <c r="AQ73">
        <v>20</v>
      </c>
      <c r="AR73">
        <v>12</v>
      </c>
      <c r="AS73">
        <v>17</v>
      </c>
      <c r="AT73">
        <v>74</v>
      </c>
      <c r="AU73">
        <v>20</v>
      </c>
      <c r="AV73">
        <v>10</v>
      </c>
      <c r="AW73">
        <v>3</v>
      </c>
      <c r="AX73">
        <v>0</v>
      </c>
      <c r="AY73">
        <v>0</v>
      </c>
      <c r="AZ73">
        <v>26</v>
      </c>
      <c r="BA73">
        <v>8</v>
      </c>
      <c r="BB73">
        <v>0</v>
      </c>
      <c r="BC73">
        <v>14</v>
      </c>
      <c r="BD73">
        <v>0</v>
      </c>
      <c r="BE73">
        <v>3</v>
      </c>
      <c r="BF73">
        <v>3</v>
      </c>
      <c r="BG73">
        <v>11</v>
      </c>
      <c r="BH73">
        <v>5</v>
      </c>
      <c r="BI73">
        <v>26</v>
      </c>
      <c r="BJ73">
        <v>8</v>
      </c>
      <c r="BK73">
        <v>0</v>
      </c>
      <c r="BL73">
        <v>0</v>
      </c>
      <c r="BM73">
        <v>21</v>
      </c>
      <c r="BN73">
        <v>5</v>
      </c>
      <c r="BO73">
        <v>5</v>
      </c>
      <c r="BP73">
        <v>7</v>
      </c>
      <c r="BQ73">
        <v>0</v>
      </c>
      <c r="BR73">
        <v>0</v>
      </c>
      <c r="BS73">
        <v>44</v>
      </c>
      <c r="BU73" s="1">
        <f>AVERAGE(Table9[[#This Row],[1-Jan-21]:[1-Dec-25]])</f>
        <v>9.6166666666666671</v>
      </c>
    </row>
    <row r="74" spans="1:73" x14ac:dyDescent="0.55000000000000004">
      <c r="A74">
        <v>73</v>
      </c>
      <c r="B74" t="s">
        <v>71</v>
      </c>
      <c r="C74" t="s">
        <v>72</v>
      </c>
      <c r="D74" t="s">
        <v>73</v>
      </c>
      <c r="E74" t="s">
        <v>180</v>
      </c>
      <c r="F74">
        <v>109924</v>
      </c>
      <c r="G74" t="s">
        <v>181</v>
      </c>
      <c r="H74" t="s">
        <v>76</v>
      </c>
      <c r="I74" t="s">
        <v>105</v>
      </c>
      <c r="J74">
        <v>37.619999999999997</v>
      </c>
      <c r="K74">
        <v>218</v>
      </c>
      <c r="L74">
        <v>0</v>
      </c>
      <c r="M74">
        <v>300</v>
      </c>
      <c r="N74">
        <v>150</v>
      </c>
      <c r="O74">
        <v>1094</v>
      </c>
      <c r="P74">
        <v>308</v>
      </c>
      <c r="Q74">
        <v>236</v>
      </c>
      <c r="R74">
        <v>450</v>
      </c>
      <c r="S74">
        <v>390</v>
      </c>
      <c r="T74">
        <v>472</v>
      </c>
      <c r="U74">
        <v>552</v>
      </c>
      <c r="V74">
        <v>576</v>
      </c>
      <c r="W74">
        <v>425</v>
      </c>
      <c r="X74">
        <v>298</v>
      </c>
      <c r="Y74">
        <v>278</v>
      </c>
      <c r="Z74">
        <v>1052</v>
      </c>
      <c r="AA74">
        <v>398</v>
      </c>
      <c r="AB74">
        <v>650</v>
      </c>
      <c r="AC74">
        <v>48</v>
      </c>
      <c r="AD74">
        <v>96</v>
      </c>
      <c r="AE74">
        <v>122</v>
      </c>
      <c r="AF74">
        <v>150</v>
      </c>
      <c r="AG74">
        <v>96</v>
      </c>
      <c r="AH74">
        <v>0</v>
      </c>
      <c r="AI74">
        <v>150</v>
      </c>
      <c r="AJ74">
        <v>0</v>
      </c>
      <c r="AK74">
        <v>100</v>
      </c>
      <c r="AL74">
        <v>48</v>
      </c>
      <c r="AM74">
        <v>24</v>
      </c>
      <c r="AN74">
        <v>24</v>
      </c>
      <c r="AO74">
        <v>175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114</v>
      </c>
      <c r="AW74">
        <v>50</v>
      </c>
      <c r="AX74">
        <v>146</v>
      </c>
      <c r="AY74">
        <v>426</v>
      </c>
      <c r="AZ74">
        <v>230</v>
      </c>
      <c r="BA74">
        <v>0</v>
      </c>
      <c r="BB74">
        <v>160</v>
      </c>
      <c r="BC74">
        <v>410</v>
      </c>
      <c r="BD74">
        <v>120</v>
      </c>
      <c r="BE74">
        <v>50</v>
      </c>
      <c r="BF74">
        <v>0</v>
      </c>
      <c r="BG74">
        <v>200</v>
      </c>
      <c r="BH74">
        <v>60</v>
      </c>
      <c r="BI74">
        <v>350</v>
      </c>
      <c r="BJ74">
        <v>282</v>
      </c>
      <c r="BK74">
        <v>370</v>
      </c>
      <c r="BL74">
        <v>100</v>
      </c>
      <c r="BM74">
        <v>458</v>
      </c>
      <c r="BN74">
        <v>428</v>
      </c>
      <c r="BO74">
        <v>672</v>
      </c>
      <c r="BP74">
        <v>362</v>
      </c>
      <c r="BQ74">
        <v>220</v>
      </c>
      <c r="BR74">
        <v>526</v>
      </c>
      <c r="BS74">
        <v>49</v>
      </c>
      <c r="BU74" s="1">
        <f>AVERAGE(Table9[[#This Row],[1-Jan-21]:[1-Dec-25]])</f>
        <v>243.56666666666666</v>
      </c>
    </row>
    <row r="75" spans="1:73" x14ac:dyDescent="0.55000000000000004">
      <c r="A75">
        <v>74</v>
      </c>
      <c r="B75" t="s">
        <v>71</v>
      </c>
      <c r="C75" t="s">
        <v>72</v>
      </c>
      <c r="D75" t="s">
        <v>73</v>
      </c>
      <c r="E75" t="s">
        <v>87</v>
      </c>
      <c r="F75">
        <v>107718</v>
      </c>
      <c r="G75" t="s">
        <v>182</v>
      </c>
      <c r="H75" t="s">
        <v>76</v>
      </c>
      <c r="I75" t="s">
        <v>80</v>
      </c>
      <c r="J75">
        <v>4.1900000000000004</v>
      </c>
      <c r="K75">
        <v>66</v>
      </c>
      <c r="L75">
        <v>45</v>
      </c>
      <c r="M75">
        <v>31</v>
      </c>
      <c r="N75">
        <v>50</v>
      </c>
      <c r="O75">
        <v>20</v>
      </c>
      <c r="P75">
        <v>90</v>
      </c>
      <c r="Q75">
        <v>0</v>
      </c>
      <c r="R75">
        <v>0</v>
      </c>
      <c r="S75">
        <v>56</v>
      </c>
      <c r="T75">
        <v>80</v>
      </c>
      <c r="U75">
        <v>6</v>
      </c>
      <c r="V75">
        <v>20</v>
      </c>
      <c r="W75">
        <v>93</v>
      </c>
      <c r="X75">
        <v>70</v>
      </c>
      <c r="Y75">
        <v>125</v>
      </c>
      <c r="Z75">
        <v>25</v>
      </c>
      <c r="AA75">
        <v>80</v>
      </c>
      <c r="AB75">
        <v>40</v>
      </c>
      <c r="AC75">
        <v>54</v>
      </c>
      <c r="AD75">
        <v>25</v>
      </c>
      <c r="AE75">
        <v>50</v>
      </c>
      <c r="AF75">
        <v>0</v>
      </c>
      <c r="AG75">
        <v>0</v>
      </c>
      <c r="AH75">
        <v>55</v>
      </c>
      <c r="AI75">
        <v>58</v>
      </c>
      <c r="AJ75">
        <v>55</v>
      </c>
      <c r="AK75">
        <v>0</v>
      </c>
      <c r="AL75">
        <v>35</v>
      </c>
      <c r="AM75">
        <v>59</v>
      </c>
      <c r="AN75">
        <v>20</v>
      </c>
      <c r="AO75">
        <v>0</v>
      </c>
      <c r="AP75">
        <v>0</v>
      </c>
      <c r="AQ75">
        <v>90</v>
      </c>
      <c r="AR75">
        <v>0</v>
      </c>
      <c r="AS75">
        <v>0</v>
      </c>
      <c r="AT75">
        <v>0</v>
      </c>
      <c r="AU75">
        <v>32</v>
      </c>
      <c r="AV75">
        <v>40</v>
      </c>
      <c r="AW75">
        <v>55</v>
      </c>
      <c r="AX75">
        <v>98</v>
      </c>
      <c r="AY75">
        <v>120</v>
      </c>
      <c r="AZ75">
        <v>40</v>
      </c>
      <c r="BA75">
        <v>80</v>
      </c>
      <c r="BB75">
        <v>100</v>
      </c>
      <c r="BC75">
        <v>125</v>
      </c>
      <c r="BD75">
        <v>65</v>
      </c>
      <c r="BE75">
        <v>240</v>
      </c>
      <c r="BF75">
        <v>40</v>
      </c>
      <c r="BG75">
        <v>469</v>
      </c>
      <c r="BH75">
        <v>56</v>
      </c>
      <c r="BI75">
        <v>0</v>
      </c>
      <c r="BJ75">
        <v>30</v>
      </c>
      <c r="BK75">
        <v>84</v>
      </c>
      <c r="BL75">
        <v>30</v>
      </c>
      <c r="BM75">
        <v>50</v>
      </c>
      <c r="BN75">
        <v>75</v>
      </c>
      <c r="BO75">
        <v>80</v>
      </c>
      <c r="BP75">
        <v>25</v>
      </c>
      <c r="BQ75">
        <v>10</v>
      </c>
      <c r="BR75">
        <v>0</v>
      </c>
      <c r="BS75">
        <v>48</v>
      </c>
      <c r="BU75" s="1">
        <f>AVERAGE(Table9[[#This Row],[1-Jan-21]:[1-Dec-25]])</f>
        <v>55.7</v>
      </c>
    </row>
    <row r="76" spans="1:73" x14ac:dyDescent="0.55000000000000004">
      <c r="A76">
        <v>75</v>
      </c>
      <c r="B76" t="s">
        <v>71</v>
      </c>
      <c r="C76" t="s">
        <v>72</v>
      </c>
      <c r="D76" t="s">
        <v>73</v>
      </c>
      <c r="E76" t="s">
        <v>87</v>
      </c>
      <c r="F76">
        <v>107602</v>
      </c>
      <c r="G76" t="s">
        <v>183</v>
      </c>
      <c r="H76" t="s">
        <v>76</v>
      </c>
      <c r="I76" t="s">
        <v>80</v>
      </c>
      <c r="J76">
        <v>2.82</v>
      </c>
      <c r="K76">
        <v>82</v>
      </c>
      <c r="L76">
        <v>15</v>
      </c>
      <c r="M76">
        <v>76</v>
      </c>
      <c r="N76">
        <v>15</v>
      </c>
      <c r="O76">
        <v>5</v>
      </c>
      <c r="P76">
        <v>115</v>
      </c>
      <c r="Q76">
        <v>616</v>
      </c>
      <c r="R76">
        <v>80</v>
      </c>
      <c r="S76">
        <v>60</v>
      </c>
      <c r="T76">
        <v>40</v>
      </c>
      <c r="U76">
        <v>150</v>
      </c>
      <c r="V76">
        <v>0</v>
      </c>
      <c r="W76">
        <v>60</v>
      </c>
      <c r="X76">
        <v>50</v>
      </c>
      <c r="Y76">
        <v>5</v>
      </c>
      <c r="Z76">
        <v>155</v>
      </c>
      <c r="AA76">
        <v>95</v>
      </c>
      <c r="AB76">
        <v>20</v>
      </c>
      <c r="AC76">
        <v>78</v>
      </c>
      <c r="AD76">
        <v>70</v>
      </c>
      <c r="AE76">
        <v>70</v>
      </c>
      <c r="AF76">
        <v>15</v>
      </c>
      <c r="AG76">
        <v>0</v>
      </c>
      <c r="AH76">
        <v>20</v>
      </c>
      <c r="AI76">
        <v>4</v>
      </c>
      <c r="AJ76">
        <v>0</v>
      </c>
      <c r="AK76">
        <v>50</v>
      </c>
      <c r="AL76">
        <v>91</v>
      </c>
      <c r="AM76">
        <v>52</v>
      </c>
      <c r="AN76">
        <v>20</v>
      </c>
      <c r="AO76">
        <v>10</v>
      </c>
      <c r="AP76">
        <v>40</v>
      </c>
      <c r="AQ76">
        <v>10</v>
      </c>
      <c r="AR76">
        <v>280</v>
      </c>
      <c r="AS76">
        <v>0</v>
      </c>
      <c r="AT76">
        <v>85</v>
      </c>
      <c r="AU76">
        <v>5</v>
      </c>
      <c r="AV76">
        <v>34</v>
      </c>
      <c r="AW76">
        <v>0</v>
      </c>
      <c r="AX76">
        <v>20</v>
      </c>
      <c r="AY76">
        <v>20</v>
      </c>
      <c r="AZ76">
        <v>75</v>
      </c>
      <c r="BA76">
        <v>56</v>
      </c>
      <c r="BB76">
        <v>20</v>
      </c>
      <c r="BC76">
        <v>5</v>
      </c>
      <c r="BD76">
        <v>40</v>
      </c>
      <c r="BE76">
        <v>35</v>
      </c>
      <c r="BF76">
        <v>40</v>
      </c>
      <c r="BG76">
        <v>68</v>
      </c>
      <c r="BH76">
        <v>105</v>
      </c>
      <c r="BI76">
        <v>50</v>
      </c>
      <c r="BJ76">
        <v>62</v>
      </c>
      <c r="BK76">
        <v>0</v>
      </c>
      <c r="BL76">
        <v>15</v>
      </c>
      <c r="BM76">
        <v>0</v>
      </c>
      <c r="BN76">
        <v>56</v>
      </c>
      <c r="BO76">
        <v>62</v>
      </c>
      <c r="BP76">
        <v>33</v>
      </c>
      <c r="BQ76">
        <v>79</v>
      </c>
      <c r="BR76">
        <v>60</v>
      </c>
      <c r="BS76">
        <v>53</v>
      </c>
      <c r="BU76" s="1">
        <f>AVERAGE(Table9[[#This Row],[1-Jan-21]:[1-Dec-25]])</f>
        <v>57.9</v>
      </c>
    </row>
    <row r="77" spans="1:73" x14ac:dyDescent="0.55000000000000004">
      <c r="A77">
        <v>76</v>
      </c>
      <c r="B77" t="s">
        <v>71</v>
      </c>
      <c r="C77" t="s">
        <v>72</v>
      </c>
      <c r="D77" t="s">
        <v>73</v>
      </c>
      <c r="E77" t="s">
        <v>184</v>
      </c>
      <c r="F77">
        <v>146473</v>
      </c>
      <c r="G77" t="s">
        <v>185</v>
      </c>
      <c r="H77" t="s">
        <v>76</v>
      </c>
      <c r="I77" t="s">
        <v>80</v>
      </c>
      <c r="J77">
        <v>1.73</v>
      </c>
      <c r="K77">
        <v>14</v>
      </c>
      <c r="L77">
        <v>15</v>
      </c>
      <c r="M77">
        <v>31</v>
      </c>
      <c r="N77">
        <v>15</v>
      </c>
      <c r="O77">
        <v>28</v>
      </c>
      <c r="P77">
        <v>20</v>
      </c>
      <c r="Q77">
        <v>15</v>
      </c>
      <c r="R77">
        <v>20</v>
      </c>
      <c r="S77">
        <v>5</v>
      </c>
      <c r="T77">
        <v>81</v>
      </c>
      <c r="U77">
        <v>11</v>
      </c>
      <c r="V77">
        <v>10</v>
      </c>
      <c r="W77">
        <v>35</v>
      </c>
      <c r="X77">
        <v>25</v>
      </c>
      <c r="Y77">
        <v>21</v>
      </c>
      <c r="Z77">
        <v>26</v>
      </c>
      <c r="AA77">
        <v>23</v>
      </c>
      <c r="AB77">
        <v>5</v>
      </c>
      <c r="AC77">
        <v>29</v>
      </c>
      <c r="AD77">
        <v>10</v>
      </c>
      <c r="AE77">
        <v>20</v>
      </c>
      <c r="AF77">
        <v>15</v>
      </c>
      <c r="AG77">
        <v>0</v>
      </c>
      <c r="AH77">
        <v>0</v>
      </c>
      <c r="AI77">
        <v>10</v>
      </c>
      <c r="AJ77">
        <v>0</v>
      </c>
      <c r="AK77">
        <v>2</v>
      </c>
      <c r="AL77">
        <v>0</v>
      </c>
      <c r="AM77">
        <v>6</v>
      </c>
      <c r="AN77">
        <v>0</v>
      </c>
      <c r="AO77">
        <v>4</v>
      </c>
      <c r="AP77">
        <v>12</v>
      </c>
      <c r="AQ77">
        <v>10</v>
      </c>
      <c r="AR77">
        <v>16</v>
      </c>
      <c r="AS77">
        <v>0</v>
      </c>
      <c r="AT77">
        <v>20</v>
      </c>
      <c r="AU77">
        <v>4</v>
      </c>
      <c r="AV77">
        <v>20</v>
      </c>
      <c r="AW77">
        <v>0</v>
      </c>
      <c r="AX77">
        <v>0</v>
      </c>
      <c r="AY77">
        <v>10</v>
      </c>
      <c r="AZ77">
        <v>32</v>
      </c>
      <c r="BA77">
        <v>0</v>
      </c>
      <c r="BB77">
        <v>0</v>
      </c>
      <c r="BC77">
        <v>0</v>
      </c>
      <c r="BD77">
        <v>20</v>
      </c>
      <c r="BE77">
        <v>32</v>
      </c>
      <c r="BF77">
        <v>0</v>
      </c>
      <c r="BG77">
        <v>20</v>
      </c>
      <c r="BH77">
        <v>5</v>
      </c>
      <c r="BI77">
        <v>10</v>
      </c>
      <c r="BJ77">
        <v>0</v>
      </c>
      <c r="BK77">
        <v>20</v>
      </c>
      <c r="BL77">
        <v>0</v>
      </c>
      <c r="BM77">
        <v>37</v>
      </c>
      <c r="BN77">
        <v>0</v>
      </c>
      <c r="BO77">
        <v>12</v>
      </c>
      <c r="BP77">
        <v>11</v>
      </c>
      <c r="BQ77">
        <v>15</v>
      </c>
      <c r="BR77">
        <v>0</v>
      </c>
      <c r="BS77">
        <v>44</v>
      </c>
      <c r="BU77" s="1">
        <f>AVERAGE(Table9[[#This Row],[1-Jan-21]:[1-Dec-25]])</f>
        <v>13.366666666666667</v>
      </c>
    </row>
    <row r="78" spans="1:73" x14ac:dyDescent="0.55000000000000004">
      <c r="A78">
        <v>77</v>
      </c>
      <c r="B78" t="s">
        <v>71</v>
      </c>
      <c r="C78" t="s">
        <v>72</v>
      </c>
      <c r="D78" t="s">
        <v>73</v>
      </c>
      <c r="E78" t="s">
        <v>87</v>
      </c>
      <c r="F78">
        <v>159387</v>
      </c>
      <c r="G78" t="s">
        <v>186</v>
      </c>
      <c r="H78" t="s">
        <v>76</v>
      </c>
      <c r="I78" t="s">
        <v>80</v>
      </c>
      <c r="J78">
        <v>12.73</v>
      </c>
      <c r="K78">
        <v>30</v>
      </c>
      <c r="L78">
        <v>8</v>
      </c>
      <c r="M78">
        <v>42</v>
      </c>
      <c r="N78">
        <v>90</v>
      </c>
      <c r="O78">
        <v>34</v>
      </c>
      <c r="P78">
        <v>4</v>
      </c>
      <c r="Q78">
        <v>16</v>
      </c>
      <c r="R78">
        <v>15</v>
      </c>
      <c r="S78">
        <v>10</v>
      </c>
      <c r="T78">
        <v>15</v>
      </c>
      <c r="U78">
        <v>25</v>
      </c>
      <c r="V78">
        <v>0</v>
      </c>
      <c r="W78">
        <v>25</v>
      </c>
      <c r="X78">
        <v>20</v>
      </c>
      <c r="Y78">
        <v>30</v>
      </c>
      <c r="Z78">
        <v>55</v>
      </c>
      <c r="AA78">
        <v>60</v>
      </c>
      <c r="AB78">
        <v>36</v>
      </c>
      <c r="AC78">
        <v>32</v>
      </c>
      <c r="AD78">
        <v>6</v>
      </c>
      <c r="AE78">
        <v>15</v>
      </c>
      <c r="AF78">
        <v>35</v>
      </c>
      <c r="AG78">
        <v>50</v>
      </c>
      <c r="AH78">
        <v>39</v>
      </c>
      <c r="AI78">
        <v>60</v>
      </c>
      <c r="AJ78">
        <v>25</v>
      </c>
      <c r="AK78">
        <v>30</v>
      </c>
      <c r="AL78">
        <v>20</v>
      </c>
      <c r="AM78">
        <v>31</v>
      </c>
      <c r="AN78">
        <v>0</v>
      </c>
      <c r="AO78">
        <v>76</v>
      </c>
      <c r="AP78">
        <v>5</v>
      </c>
      <c r="AQ78">
        <v>26</v>
      </c>
      <c r="AR78">
        <v>20</v>
      </c>
      <c r="AS78">
        <v>0</v>
      </c>
      <c r="AT78">
        <v>40</v>
      </c>
      <c r="AU78">
        <v>22</v>
      </c>
      <c r="AV78">
        <v>36</v>
      </c>
      <c r="AW78">
        <v>15</v>
      </c>
      <c r="AX78">
        <v>30</v>
      </c>
      <c r="AY78">
        <v>36</v>
      </c>
      <c r="AZ78">
        <v>10</v>
      </c>
      <c r="BA78">
        <v>20</v>
      </c>
      <c r="BB78">
        <v>0</v>
      </c>
      <c r="BC78">
        <v>7</v>
      </c>
      <c r="BD78">
        <v>48</v>
      </c>
      <c r="BE78">
        <v>26</v>
      </c>
      <c r="BF78">
        <v>0</v>
      </c>
      <c r="BG78">
        <v>0</v>
      </c>
      <c r="BH78">
        <v>10</v>
      </c>
      <c r="BI78">
        <v>20</v>
      </c>
      <c r="BJ78">
        <v>22</v>
      </c>
      <c r="BK78">
        <v>0</v>
      </c>
      <c r="BL78">
        <v>47</v>
      </c>
      <c r="BM78">
        <v>30</v>
      </c>
      <c r="BN78">
        <v>45</v>
      </c>
      <c r="BO78">
        <v>30</v>
      </c>
      <c r="BP78">
        <v>0</v>
      </c>
      <c r="BQ78">
        <v>22</v>
      </c>
      <c r="BR78">
        <v>30</v>
      </c>
      <c r="BS78">
        <v>52</v>
      </c>
      <c r="BU78" s="1">
        <f>AVERAGE(Table9[[#This Row],[1-Jan-21]:[1-Dec-25]])</f>
        <v>25.516666666666666</v>
      </c>
    </row>
    <row r="79" spans="1:73" x14ac:dyDescent="0.55000000000000004">
      <c r="A79">
        <v>78</v>
      </c>
      <c r="B79" t="s">
        <v>71</v>
      </c>
      <c r="C79" t="s">
        <v>72</v>
      </c>
      <c r="D79" t="s">
        <v>73</v>
      </c>
      <c r="E79" t="s">
        <v>184</v>
      </c>
      <c r="F79">
        <v>148885</v>
      </c>
      <c r="G79" t="s">
        <v>187</v>
      </c>
      <c r="H79" t="s">
        <v>76</v>
      </c>
      <c r="I79" t="s">
        <v>80</v>
      </c>
      <c r="J79">
        <v>3.47</v>
      </c>
      <c r="K79">
        <v>6</v>
      </c>
      <c r="L79">
        <v>0</v>
      </c>
      <c r="M79">
        <v>7</v>
      </c>
      <c r="N79">
        <v>25</v>
      </c>
      <c r="O79">
        <v>11</v>
      </c>
      <c r="P79">
        <v>5</v>
      </c>
      <c r="Q79">
        <v>0</v>
      </c>
      <c r="R79">
        <v>10</v>
      </c>
      <c r="S79">
        <v>20</v>
      </c>
      <c r="T79">
        <v>17</v>
      </c>
      <c r="U79">
        <v>20</v>
      </c>
      <c r="V79">
        <v>6</v>
      </c>
      <c r="W79">
        <v>21</v>
      </c>
      <c r="X79">
        <v>0</v>
      </c>
      <c r="Y79">
        <v>12</v>
      </c>
      <c r="Z79">
        <v>0</v>
      </c>
      <c r="AA79">
        <v>0</v>
      </c>
      <c r="AB79">
        <v>20</v>
      </c>
      <c r="AC79">
        <v>6</v>
      </c>
      <c r="AD79">
        <v>1</v>
      </c>
      <c r="AE79">
        <v>15</v>
      </c>
      <c r="AF79">
        <v>10</v>
      </c>
      <c r="AG79">
        <v>6</v>
      </c>
      <c r="AH79">
        <v>0</v>
      </c>
      <c r="AI79">
        <v>5</v>
      </c>
      <c r="AJ79">
        <v>20</v>
      </c>
      <c r="AK79">
        <v>17</v>
      </c>
      <c r="AL79">
        <v>10</v>
      </c>
      <c r="AM79">
        <v>20</v>
      </c>
      <c r="AN79">
        <v>12</v>
      </c>
      <c r="AO79">
        <v>0</v>
      </c>
      <c r="AP79">
        <v>0</v>
      </c>
      <c r="AQ79">
        <v>27</v>
      </c>
      <c r="AR79">
        <v>80</v>
      </c>
      <c r="AS79">
        <v>109</v>
      </c>
      <c r="AT79">
        <v>4</v>
      </c>
      <c r="AU79">
        <v>18</v>
      </c>
      <c r="AV79">
        <v>25</v>
      </c>
      <c r="AW79">
        <v>0</v>
      </c>
      <c r="AX79">
        <v>15</v>
      </c>
      <c r="AY79">
        <v>31</v>
      </c>
      <c r="AZ79">
        <v>16</v>
      </c>
      <c r="BA79">
        <v>15</v>
      </c>
      <c r="BB79">
        <v>30</v>
      </c>
      <c r="BC79">
        <v>189</v>
      </c>
      <c r="BD79">
        <v>2</v>
      </c>
      <c r="BE79">
        <v>61</v>
      </c>
      <c r="BF79">
        <v>65</v>
      </c>
      <c r="BG79">
        <v>59</v>
      </c>
      <c r="BH79">
        <v>97</v>
      </c>
      <c r="BI79">
        <v>256</v>
      </c>
      <c r="BJ79">
        <v>394</v>
      </c>
      <c r="BK79">
        <v>120</v>
      </c>
      <c r="BL79">
        <v>0</v>
      </c>
      <c r="BM79">
        <v>120</v>
      </c>
      <c r="BN79">
        <v>6</v>
      </c>
      <c r="BO79">
        <v>40</v>
      </c>
      <c r="BP79">
        <v>152</v>
      </c>
      <c r="BQ79">
        <v>25</v>
      </c>
      <c r="BR79">
        <v>0</v>
      </c>
      <c r="BS79">
        <v>49</v>
      </c>
      <c r="BU79" s="1">
        <f>AVERAGE(Table9[[#This Row],[1-Jan-21]:[1-Dec-25]])</f>
        <v>37.633333333333333</v>
      </c>
    </row>
    <row r="80" spans="1:73" x14ac:dyDescent="0.55000000000000004">
      <c r="A80">
        <v>79</v>
      </c>
      <c r="B80" t="s">
        <v>71</v>
      </c>
      <c r="C80" t="s">
        <v>72</v>
      </c>
      <c r="D80" t="s">
        <v>73</v>
      </c>
      <c r="E80" t="s">
        <v>87</v>
      </c>
      <c r="F80">
        <v>107624</v>
      </c>
      <c r="G80" t="s">
        <v>188</v>
      </c>
      <c r="H80" t="s">
        <v>76</v>
      </c>
      <c r="I80" t="s">
        <v>80</v>
      </c>
      <c r="J80">
        <v>17.36</v>
      </c>
      <c r="K80">
        <v>40</v>
      </c>
      <c r="L80">
        <v>204</v>
      </c>
      <c r="M80">
        <v>25</v>
      </c>
      <c r="N80">
        <v>130</v>
      </c>
      <c r="O80">
        <v>486</v>
      </c>
      <c r="P80">
        <v>160</v>
      </c>
      <c r="Q80">
        <v>186</v>
      </c>
      <c r="R80">
        <v>355</v>
      </c>
      <c r="S80">
        <v>255</v>
      </c>
      <c r="T80">
        <v>358</v>
      </c>
      <c r="U80">
        <v>60</v>
      </c>
      <c r="V80">
        <v>425</v>
      </c>
      <c r="W80">
        <v>100</v>
      </c>
      <c r="X80">
        <v>76</v>
      </c>
      <c r="Y80">
        <v>144</v>
      </c>
      <c r="Z80">
        <v>30</v>
      </c>
      <c r="AA80">
        <v>10</v>
      </c>
      <c r="AB80">
        <v>130</v>
      </c>
      <c r="AC80">
        <v>95</v>
      </c>
      <c r="AD80">
        <v>0</v>
      </c>
      <c r="AE80">
        <v>50</v>
      </c>
      <c r="AF80">
        <v>30</v>
      </c>
      <c r="AG80">
        <v>30</v>
      </c>
      <c r="AH80">
        <v>0</v>
      </c>
      <c r="AI80">
        <v>0</v>
      </c>
      <c r="AJ80">
        <v>0</v>
      </c>
      <c r="AK80">
        <v>0</v>
      </c>
      <c r="AL80">
        <v>80</v>
      </c>
      <c r="AM80">
        <v>10</v>
      </c>
      <c r="AN80">
        <v>0</v>
      </c>
      <c r="AO80">
        <v>4</v>
      </c>
      <c r="AP80">
        <v>30</v>
      </c>
      <c r="AQ80">
        <v>30</v>
      </c>
      <c r="AR80">
        <v>15</v>
      </c>
      <c r="AS80">
        <v>0</v>
      </c>
      <c r="AT80">
        <v>30</v>
      </c>
      <c r="AU80">
        <v>55</v>
      </c>
      <c r="AV80">
        <v>10</v>
      </c>
      <c r="AW80">
        <v>100</v>
      </c>
      <c r="AX80">
        <v>179</v>
      </c>
      <c r="AY80">
        <v>157</v>
      </c>
      <c r="AZ80">
        <v>0</v>
      </c>
      <c r="BA80">
        <v>50</v>
      </c>
      <c r="BB80">
        <v>10</v>
      </c>
      <c r="BC80">
        <v>159</v>
      </c>
      <c r="BD80">
        <v>40</v>
      </c>
      <c r="BE80">
        <v>34</v>
      </c>
      <c r="BF80">
        <v>10</v>
      </c>
      <c r="BG80">
        <v>88</v>
      </c>
      <c r="BH80">
        <v>30</v>
      </c>
      <c r="BI80">
        <v>20</v>
      </c>
      <c r="BJ80">
        <v>80</v>
      </c>
      <c r="BK80">
        <v>50</v>
      </c>
      <c r="BL80">
        <v>20</v>
      </c>
      <c r="BM80">
        <v>72</v>
      </c>
      <c r="BN80">
        <v>0</v>
      </c>
      <c r="BO80">
        <v>0</v>
      </c>
      <c r="BP80">
        <v>30</v>
      </c>
      <c r="BQ80">
        <v>0</v>
      </c>
      <c r="BR80">
        <v>0</v>
      </c>
      <c r="BS80">
        <v>48</v>
      </c>
      <c r="BU80" s="1">
        <f>AVERAGE(Table9[[#This Row],[1-Jan-21]:[1-Dec-25]])</f>
        <v>79.533333333333331</v>
      </c>
    </row>
    <row r="81" spans="1:73" x14ac:dyDescent="0.55000000000000004">
      <c r="A81">
        <v>80</v>
      </c>
      <c r="B81" t="s">
        <v>71</v>
      </c>
      <c r="C81" t="s">
        <v>72</v>
      </c>
      <c r="D81" t="s">
        <v>73</v>
      </c>
      <c r="E81" t="s">
        <v>87</v>
      </c>
      <c r="F81">
        <v>143589</v>
      </c>
      <c r="G81" t="s">
        <v>189</v>
      </c>
      <c r="H81" t="s">
        <v>76</v>
      </c>
      <c r="I81" t="s">
        <v>80</v>
      </c>
      <c r="J81">
        <v>22.96</v>
      </c>
      <c r="K81">
        <v>300</v>
      </c>
      <c r="L81">
        <v>550</v>
      </c>
      <c r="M81">
        <v>720</v>
      </c>
      <c r="N81">
        <v>462</v>
      </c>
      <c r="O81">
        <v>450</v>
      </c>
      <c r="P81">
        <v>200</v>
      </c>
      <c r="Q81">
        <v>50</v>
      </c>
      <c r="R81">
        <v>0</v>
      </c>
      <c r="S81">
        <v>40</v>
      </c>
      <c r="T81">
        <v>220</v>
      </c>
      <c r="U81">
        <v>0</v>
      </c>
      <c r="V81">
        <v>80</v>
      </c>
      <c r="W81">
        <v>0</v>
      </c>
      <c r="X81">
        <v>0</v>
      </c>
      <c r="Y81">
        <v>100</v>
      </c>
      <c r="Z81">
        <v>55</v>
      </c>
      <c r="AA81">
        <v>0</v>
      </c>
      <c r="AB81">
        <v>85</v>
      </c>
      <c r="AC81">
        <v>100</v>
      </c>
      <c r="AD81">
        <v>105</v>
      </c>
      <c r="AE81">
        <v>310</v>
      </c>
      <c r="AF81">
        <v>35</v>
      </c>
      <c r="AG81">
        <v>250</v>
      </c>
      <c r="AH81">
        <v>100</v>
      </c>
      <c r="AI81">
        <v>124</v>
      </c>
      <c r="AJ81">
        <v>0</v>
      </c>
      <c r="AK81">
        <v>100</v>
      </c>
      <c r="AL81">
        <v>0</v>
      </c>
      <c r="AM81">
        <v>30</v>
      </c>
      <c r="AN81">
        <v>144</v>
      </c>
      <c r="AO81">
        <v>200</v>
      </c>
      <c r="AP81">
        <v>208</v>
      </c>
      <c r="AQ81">
        <v>240</v>
      </c>
      <c r="AR81">
        <v>0</v>
      </c>
      <c r="AS81">
        <v>0</v>
      </c>
      <c r="AT81">
        <v>200</v>
      </c>
      <c r="AU81">
        <v>320</v>
      </c>
      <c r="AV81">
        <v>60</v>
      </c>
      <c r="AW81">
        <v>100</v>
      </c>
      <c r="AX81">
        <v>0</v>
      </c>
      <c r="AY81">
        <v>150</v>
      </c>
      <c r="AZ81">
        <v>100</v>
      </c>
      <c r="BA81">
        <v>10</v>
      </c>
      <c r="BB81">
        <v>0</v>
      </c>
      <c r="BC81">
        <v>110</v>
      </c>
      <c r="BD81">
        <v>0</v>
      </c>
      <c r="BE81">
        <v>60</v>
      </c>
      <c r="BF81">
        <v>94</v>
      </c>
      <c r="BG81">
        <v>100</v>
      </c>
      <c r="BH81">
        <v>50</v>
      </c>
      <c r="BI81">
        <v>14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50</v>
      </c>
      <c r="BP81">
        <v>4</v>
      </c>
      <c r="BQ81">
        <v>0</v>
      </c>
      <c r="BR81">
        <v>22</v>
      </c>
      <c r="BS81">
        <v>42</v>
      </c>
      <c r="BU81" s="1">
        <f>AVERAGE(Table9[[#This Row],[1-Jan-21]:[1-Dec-25]])</f>
        <v>111.7</v>
      </c>
    </row>
    <row r="82" spans="1:73" x14ac:dyDescent="0.55000000000000004">
      <c r="A82">
        <v>81</v>
      </c>
      <c r="B82" t="s">
        <v>71</v>
      </c>
      <c r="C82" t="s">
        <v>72</v>
      </c>
      <c r="D82" t="s">
        <v>73</v>
      </c>
      <c r="E82" t="s">
        <v>87</v>
      </c>
      <c r="F82">
        <v>107641</v>
      </c>
      <c r="G82" t="s">
        <v>190</v>
      </c>
      <c r="H82" t="s">
        <v>76</v>
      </c>
      <c r="I82" t="s">
        <v>80</v>
      </c>
      <c r="J82">
        <v>34.74</v>
      </c>
      <c r="K82">
        <v>27</v>
      </c>
      <c r="L82">
        <v>0</v>
      </c>
      <c r="M82">
        <v>34</v>
      </c>
      <c r="N82">
        <v>10</v>
      </c>
      <c r="O82">
        <v>30</v>
      </c>
      <c r="P82">
        <v>39</v>
      </c>
      <c r="Q82">
        <v>42</v>
      </c>
      <c r="R82">
        <v>80</v>
      </c>
      <c r="S82">
        <v>70</v>
      </c>
      <c r="T82">
        <v>58</v>
      </c>
      <c r="U82">
        <v>0</v>
      </c>
      <c r="V82">
        <v>33</v>
      </c>
      <c r="W82">
        <v>20</v>
      </c>
      <c r="X82">
        <v>9</v>
      </c>
      <c r="Y82">
        <v>20</v>
      </c>
      <c r="Z82">
        <v>22</v>
      </c>
      <c r="AA82">
        <v>34</v>
      </c>
      <c r="AB82">
        <v>33</v>
      </c>
      <c r="AC82">
        <v>0</v>
      </c>
      <c r="AD82">
        <v>26</v>
      </c>
      <c r="AE82">
        <v>24</v>
      </c>
      <c r="AF82">
        <v>5</v>
      </c>
      <c r="AG82">
        <v>22</v>
      </c>
      <c r="AH82">
        <v>0</v>
      </c>
      <c r="AI82">
        <v>19</v>
      </c>
      <c r="AJ82">
        <v>17</v>
      </c>
      <c r="AK82">
        <v>0</v>
      </c>
      <c r="AL82">
        <v>0</v>
      </c>
      <c r="AM82">
        <v>10</v>
      </c>
      <c r="AN82">
        <v>4</v>
      </c>
      <c r="AO82">
        <v>10</v>
      </c>
      <c r="AP82">
        <v>0</v>
      </c>
      <c r="AQ82">
        <v>0</v>
      </c>
      <c r="AR82">
        <v>0</v>
      </c>
      <c r="AS82">
        <v>17</v>
      </c>
      <c r="AT82">
        <v>26</v>
      </c>
      <c r="AU82">
        <v>0</v>
      </c>
      <c r="AV82">
        <v>10</v>
      </c>
      <c r="AW82">
        <v>10</v>
      </c>
      <c r="AX82">
        <v>11</v>
      </c>
      <c r="AY82">
        <v>22</v>
      </c>
      <c r="AZ82">
        <v>18</v>
      </c>
      <c r="BA82">
        <v>0</v>
      </c>
      <c r="BB82">
        <v>10</v>
      </c>
      <c r="BC82">
        <v>0</v>
      </c>
      <c r="BD82">
        <v>22</v>
      </c>
      <c r="BE82">
        <v>16</v>
      </c>
      <c r="BF82">
        <v>55</v>
      </c>
      <c r="BG82">
        <v>24</v>
      </c>
      <c r="BH82">
        <v>10</v>
      </c>
      <c r="BI82">
        <v>5</v>
      </c>
      <c r="BJ82">
        <v>4</v>
      </c>
      <c r="BK82">
        <v>35</v>
      </c>
      <c r="BL82">
        <v>22</v>
      </c>
      <c r="BM82">
        <v>16</v>
      </c>
      <c r="BN82">
        <v>0</v>
      </c>
      <c r="BO82">
        <v>14</v>
      </c>
      <c r="BP82">
        <v>10</v>
      </c>
      <c r="BQ82">
        <v>0</v>
      </c>
      <c r="BR82">
        <v>8</v>
      </c>
      <c r="BS82">
        <v>46</v>
      </c>
      <c r="BU82" s="1">
        <f>AVERAGE(Table9[[#This Row],[1-Jan-21]:[1-Dec-25]])</f>
        <v>17.716666666666665</v>
      </c>
    </row>
    <row r="83" spans="1:73" x14ac:dyDescent="0.55000000000000004">
      <c r="A83">
        <v>82</v>
      </c>
      <c r="B83" t="s">
        <v>71</v>
      </c>
      <c r="C83" t="s">
        <v>72</v>
      </c>
      <c r="D83" t="s">
        <v>73</v>
      </c>
      <c r="E83" t="s">
        <v>87</v>
      </c>
      <c r="F83">
        <v>107595</v>
      </c>
      <c r="G83" t="s">
        <v>191</v>
      </c>
      <c r="H83" t="s">
        <v>76</v>
      </c>
      <c r="I83" t="s">
        <v>80</v>
      </c>
      <c r="J83">
        <v>17.39</v>
      </c>
      <c r="K83">
        <v>16</v>
      </c>
      <c r="L83">
        <v>24</v>
      </c>
      <c r="M83">
        <v>22</v>
      </c>
      <c r="N83">
        <v>81</v>
      </c>
      <c r="O83">
        <v>47</v>
      </c>
      <c r="P83">
        <v>60</v>
      </c>
      <c r="Q83">
        <v>50</v>
      </c>
      <c r="R83">
        <v>30</v>
      </c>
      <c r="S83">
        <v>20</v>
      </c>
      <c r="T83">
        <v>18</v>
      </c>
      <c r="U83">
        <v>0</v>
      </c>
      <c r="V83">
        <v>4</v>
      </c>
      <c r="W83">
        <v>16</v>
      </c>
      <c r="X83">
        <v>40</v>
      </c>
      <c r="Y83">
        <v>52</v>
      </c>
      <c r="Z83">
        <v>38</v>
      </c>
      <c r="AA83">
        <v>26</v>
      </c>
      <c r="AB83">
        <v>52</v>
      </c>
      <c r="AC83">
        <v>2</v>
      </c>
      <c r="AD83">
        <v>0</v>
      </c>
      <c r="AE83">
        <v>4</v>
      </c>
      <c r="AF83">
        <v>0</v>
      </c>
      <c r="AG83">
        <v>18</v>
      </c>
      <c r="AH83">
        <v>65</v>
      </c>
      <c r="AI83">
        <v>20</v>
      </c>
      <c r="AJ83">
        <v>26</v>
      </c>
      <c r="AK83">
        <v>10</v>
      </c>
      <c r="AL83">
        <v>0</v>
      </c>
      <c r="AM83">
        <v>20</v>
      </c>
      <c r="AN83">
        <v>8</v>
      </c>
      <c r="AO83">
        <v>0</v>
      </c>
      <c r="AP83">
        <v>62</v>
      </c>
      <c r="AQ83">
        <v>36</v>
      </c>
      <c r="AR83">
        <v>45</v>
      </c>
      <c r="AS83">
        <v>0</v>
      </c>
      <c r="AT83">
        <v>32</v>
      </c>
      <c r="AU83">
        <v>0</v>
      </c>
      <c r="AV83">
        <v>42</v>
      </c>
      <c r="AW83">
        <v>10</v>
      </c>
      <c r="AX83">
        <v>69</v>
      </c>
      <c r="AY83">
        <v>6</v>
      </c>
      <c r="AZ83">
        <v>20</v>
      </c>
      <c r="BA83">
        <v>32</v>
      </c>
      <c r="BB83">
        <v>52</v>
      </c>
      <c r="BC83">
        <v>0</v>
      </c>
      <c r="BD83">
        <v>0</v>
      </c>
      <c r="BE83">
        <v>31</v>
      </c>
      <c r="BF83">
        <v>56</v>
      </c>
      <c r="BG83">
        <v>78</v>
      </c>
      <c r="BH83">
        <v>65</v>
      </c>
      <c r="BI83">
        <v>0</v>
      </c>
      <c r="BJ83">
        <v>75</v>
      </c>
      <c r="BK83">
        <v>70</v>
      </c>
      <c r="BL83">
        <v>5</v>
      </c>
      <c r="BM83">
        <v>0</v>
      </c>
      <c r="BN83">
        <v>8</v>
      </c>
      <c r="BO83">
        <v>25</v>
      </c>
      <c r="BP83">
        <v>0</v>
      </c>
      <c r="BQ83">
        <v>0</v>
      </c>
      <c r="BR83">
        <v>8</v>
      </c>
      <c r="BS83">
        <v>47</v>
      </c>
      <c r="BU83" s="1">
        <f>AVERAGE(Table9[[#This Row],[1-Jan-21]:[1-Dec-25]])</f>
        <v>26.6</v>
      </c>
    </row>
    <row r="84" spans="1:73" x14ac:dyDescent="0.55000000000000004">
      <c r="A84">
        <v>83</v>
      </c>
      <c r="B84" t="s">
        <v>71</v>
      </c>
      <c r="C84" t="s">
        <v>72</v>
      </c>
      <c r="D84" t="s">
        <v>73</v>
      </c>
      <c r="E84" t="s">
        <v>89</v>
      </c>
      <c r="F84">
        <v>109156</v>
      </c>
      <c r="G84" t="s">
        <v>192</v>
      </c>
      <c r="H84" t="s">
        <v>76</v>
      </c>
      <c r="I84" t="s">
        <v>80</v>
      </c>
      <c r="J84">
        <v>131.76</v>
      </c>
      <c r="K84">
        <v>68</v>
      </c>
      <c r="L84">
        <v>18</v>
      </c>
      <c r="M84">
        <v>20</v>
      </c>
      <c r="N84">
        <v>35</v>
      </c>
      <c r="O84">
        <v>30</v>
      </c>
      <c r="P84">
        <v>50</v>
      </c>
      <c r="Q84">
        <v>18</v>
      </c>
      <c r="R84">
        <v>36</v>
      </c>
      <c r="S84">
        <v>20</v>
      </c>
      <c r="T84">
        <v>45</v>
      </c>
      <c r="U84">
        <v>26</v>
      </c>
      <c r="V84">
        <v>36</v>
      </c>
      <c r="W84">
        <v>26</v>
      </c>
      <c r="X84">
        <v>42</v>
      </c>
      <c r="Y84">
        <v>22</v>
      </c>
      <c r="Z84">
        <v>32</v>
      </c>
      <c r="AA84">
        <v>104</v>
      </c>
      <c r="AB84">
        <v>49</v>
      </c>
      <c r="AC84">
        <v>24</v>
      </c>
      <c r="AD84">
        <v>16</v>
      </c>
      <c r="AE84">
        <v>0</v>
      </c>
      <c r="AF84">
        <v>13</v>
      </c>
      <c r="AG84">
        <v>26</v>
      </c>
      <c r="AH84">
        <v>20</v>
      </c>
      <c r="AI84">
        <v>18</v>
      </c>
      <c r="AJ84">
        <v>4</v>
      </c>
      <c r="AK84">
        <v>32</v>
      </c>
      <c r="AL84">
        <v>2</v>
      </c>
      <c r="AM84">
        <v>32</v>
      </c>
      <c r="AN84">
        <v>26</v>
      </c>
      <c r="AO84">
        <v>6</v>
      </c>
      <c r="AP84">
        <v>6</v>
      </c>
      <c r="AQ84">
        <v>5</v>
      </c>
      <c r="AR84">
        <v>3</v>
      </c>
      <c r="AS84">
        <v>4</v>
      </c>
      <c r="AT84">
        <v>10</v>
      </c>
      <c r="AU84">
        <v>5</v>
      </c>
      <c r="AV84">
        <v>11</v>
      </c>
      <c r="AW84">
        <v>24</v>
      </c>
      <c r="AX84">
        <v>17</v>
      </c>
      <c r="AY84">
        <v>15</v>
      </c>
      <c r="AZ84">
        <v>4</v>
      </c>
      <c r="BA84">
        <v>2</v>
      </c>
      <c r="BB84">
        <v>12</v>
      </c>
      <c r="BC84">
        <v>16</v>
      </c>
      <c r="BD84">
        <v>23</v>
      </c>
      <c r="BE84">
        <v>52</v>
      </c>
      <c r="BF84">
        <v>1</v>
      </c>
      <c r="BG84">
        <v>17</v>
      </c>
      <c r="BH84">
        <v>20</v>
      </c>
      <c r="BI84">
        <v>26</v>
      </c>
      <c r="BJ84">
        <v>20</v>
      </c>
      <c r="BK84">
        <v>24</v>
      </c>
      <c r="BL84">
        <v>22</v>
      </c>
      <c r="BM84">
        <v>20</v>
      </c>
      <c r="BN84">
        <v>7</v>
      </c>
      <c r="BO84">
        <v>9</v>
      </c>
      <c r="BP84">
        <v>6</v>
      </c>
      <c r="BQ84">
        <v>11</v>
      </c>
      <c r="BR84">
        <v>2</v>
      </c>
      <c r="BS84">
        <v>59</v>
      </c>
      <c r="BU84" s="1">
        <f>AVERAGE(Table9[[#This Row],[1-Jan-21]:[1-Dec-25]])</f>
        <v>21.5</v>
      </c>
    </row>
    <row r="85" spans="1:73" x14ac:dyDescent="0.55000000000000004">
      <c r="A85">
        <v>84</v>
      </c>
      <c r="B85" t="s">
        <v>71</v>
      </c>
      <c r="C85" t="s">
        <v>72</v>
      </c>
      <c r="D85" t="s">
        <v>73</v>
      </c>
      <c r="E85" t="s">
        <v>134</v>
      </c>
      <c r="F85">
        <v>108609</v>
      </c>
      <c r="G85" t="s">
        <v>193</v>
      </c>
      <c r="H85" t="s">
        <v>76</v>
      </c>
      <c r="I85" t="s">
        <v>80</v>
      </c>
      <c r="J85">
        <v>4515.79</v>
      </c>
      <c r="K85">
        <v>4</v>
      </c>
      <c r="L85">
        <v>8</v>
      </c>
      <c r="M85">
        <v>4</v>
      </c>
      <c r="N85">
        <v>7</v>
      </c>
      <c r="O85">
        <v>1</v>
      </c>
      <c r="P85">
        <v>6</v>
      </c>
      <c r="Q85">
        <v>7</v>
      </c>
      <c r="R85">
        <v>0</v>
      </c>
      <c r="S85">
        <v>2</v>
      </c>
      <c r="T85">
        <v>7</v>
      </c>
      <c r="U85">
        <v>0</v>
      </c>
      <c r="V85">
        <v>2</v>
      </c>
      <c r="W85">
        <v>3</v>
      </c>
      <c r="X85">
        <v>7</v>
      </c>
      <c r="Y85">
        <v>8</v>
      </c>
      <c r="Z85">
        <v>6</v>
      </c>
      <c r="AA85">
        <v>0</v>
      </c>
      <c r="AB85">
        <v>5</v>
      </c>
      <c r="AC85">
        <v>7</v>
      </c>
      <c r="AD85">
        <v>4</v>
      </c>
      <c r="AE85">
        <v>3</v>
      </c>
      <c r="AF85">
        <v>0</v>
      </c>
      <c r="AG85">
        <v>4</v>
      </c>
      <c r="AH85">
        <v>3</v>
      </c>
      <c r="AI85">
        <v>0</v>
      </c>
      <c r="AJ85">
        <v>2</v>
      </c>
      <c r="AK85">
        <v>2</v>
      </c>
      <c r="AL85">
        <v>0</v>
      </c>
      <c r="AM85">
        <v>6</v>
      </c>
      <c r="AN85">
        <v>0</v>
      </c>
      <c r="AO85">
        <v>4</v>
      </c>
      <c r="AP85">
        <v>6</v>
      </c>
      <c r="AQ85">
        <v>3</v>
      </c>
      <c r="AR85">
        <v>0</v>
      </c>
      <c r="AS85">
        <v>2</v>
      </c>
      <c r="AT85">
        <v>2</v>
      </c>
      <c r="AU85">
        <v>6</v>
      </c>
      <c r="AV85">
        <v>6</v>
      </c>
      <c r="AW85">
        <v>6</v>
      </c>
      <c r="AX85">
        <v>2</v>
      </c>
      <c r="AY85">
        <v>6</v>
      </c>
      <c r="AZ85">
        <v>2</v>
      </c>
      <c r="BA85">
        <v>6</v>
      </c>
      <c r="BB85">
        <v>6</v>
      </c>
      <c r="BC85">
        <v>2</v>
      </c>
      <c r="BD85">
        <v>4</v>
      </c>
      <c r="BE85">
        <v>6</v>
      </c>
      <c r="BF85">
        <v>2</v>
      </c>
      <c r="BG85">
        <v>4</v>
      </c>
      <c r="BH85">
        <v>4</v>
      </c>
      <c r="BI85">
        <v>2</v>
      </c>
      <c r="BJ85">
        <v>0</v>
      </c>
      <c r="BK85">
        <v>3</v>
      </c>
      <c r="BL85">
        <v>0</v>
      </c>
      <c r="BM85">
        <v>2</v>
      </c>
      <c r="BN85">
        <v>7</v>
      </c>
      <c r="BO85">
        <v>2</v>
      </c>
      <c r="BP85">
        <v>0</v>
      </c>
      <c r="BQ85">
        <v>4</v>
      </c>
      <c r="BR85">
        <v>0</v>
      </c>
      <c r="BS85">
        <v>48</v>
      </c>
      <c r="BU85" s="1">
        <f>AVERAGE(Table9[[#This Row],[1-Jan-21]:[1-Dec-25]])</f>
        <v>3.45</v>
      </c>
    </row>
    <row r="86" spans="1:73" x14ac:dyDescent="0.55000000000000004">
      <c r="A86">
        <v>85</v>
      </c>
      <c r="B86" t="s">
        <v>71</v>
      </c>
      <c r="C86" t="s">
        <v>72</v>
      </c>
      <c r="D86" t="s">
        <v>73</v>
      </c>
      <c r="E86" t="s">
        <v>134</v>
      </c>
      <c r="F86">
        <v>108465</v>
      </c>
      <c r="G86" t="s">
        <v>194</v>
      </c>
      <c r="H86" t="s">
        <v>76</v>
      </c>
      <c r="I86" t="s">
        <v>80</v>
      </c>
      <c r="J86">
        <v>343</v>
      </c>
      <c r="K86">
        <v>5</v>
      </c>
      <c r="L86">
        <v>1</v>
      </c>
      <c r="M86">
        <v>13</v>
      </c>
      <c r="N86">
        <v>14</v>
      </c>
      <c r="O86">
        <v>6</v>
      </c>
      <c r="P86">
        <v>5</v>
      </c>
      <c r="Q86">
        <v>5</v>
      </c>
      <c r="R86">
        <v>8</v>
      </c>
      <c r="S86">
        <v>8</v>
      </c>
      <c r="T86">
        <v>1</v>
      </c>
      <c r="U86">
        <v>2</v>
      </c>
      <c r="V86">
        <v>3</v>
      </c>
      <c r="W86">
        <v>4</v>
      </c>
      <c r="X86">
        <v>4</v>
      </c>
      <c r="Y86">
        <v>10</v>
      </c>
      <c r="Z86">
        <v>0</v>
      </c>
      <c r="AA86">
        <v>7</v>
      </c>
      <c r="AB86">
        <v>7</v>
      </c>
      <c r="AC86">
        <v>3</v>
      </c>
      <c r="AD86">
        <v>0</v>
      </c>
      <c r="AE86">
        <v>0</v>
      </c>
      <c r="AF86">
        <v>5</v>
      </c>
      <c r="AG86">
        <v>0</v>
      </c>
      <c r="AH86">
        <v>4</v>
      </c>
      <c r="AI86">
        <v>0</v>
      </c>
      <c r="AJ86">
        <v>1</v>
      </c>
      <c r="AK86">
        <v>1</v>
      </c>
      <c r="AL86">
        <v>0</v>
      </c>
      <c r="AM86">
        <v>2</v>
      </c>
      <c r="AN86">
        <v>4</v>
      </c>
      <c r="AO86">
        <v>0</v>
      </c>
      <c r="AP86">
        <v>4</v>
      </c>
      <c r="AQ86">
        <v>2</v>
      </c>
      <c r="AR86">
        <v>2</v>
      </c>
      <c r="AS86">
        <v>0</v>
      </c>
      <c r="AT86">
        <v>0</v>
      </c>
      <c r="AU86">
        <v>3</v>
      </c>
      <c r="AV86">
        <v>1</v>
      </c>
      <c r="AW86">
        <v>10</v>
      </c>
      <c r="AX86">
        <v>6</v>
      </c>
      <c r="AY86">
        <v>6</v>
      </c>
      <c r="AZ86">
        <v>2</v>
      </c>
      <c r="BA86">
        <v>1</v>
      </c>
      <c r="BB86">
        <v>3</v>
      </c>
      <c r="BC86">
        <v>5</v>
      </c>
      <c r="BD86">
        <v>5</v>
      </c>
      <c r="BE86">
        <v>3</v>
      </c>
      <c r="BF86">
        <v>0</v>
      </c>
      <c r="BG86">
        <v>4</v>
      </c>
      <c r="BH86">
        <v>6</v>
      </c>
      <c r="BI86">
        <v>8</v>
      </c>
      <c r="BJ86">
        <v>7</v>
      </c>
      <c r="BK86">
        <v>3</v>
      </c>
      <c r="BL86">
        <v>2</v>
      </c>
      <c r="BM86">
        <v>7</v>
      </c>
      <c r="BN86">
        <v>7</v>
      </c>
      <c r="BO86">
        <v>10</v>
      </c>
      <c r="BP86">
        <v>11</v>
      </c>
      <c r="BQ86">
        <v>2</v>
      </c>
      <c r="BR86">
        <v>3</v>
      </c>
      <c r="BS86">
        <v>50</v>
      </c>
      <c r="BU86" s="1">
        <f>AVERAGE(Table9[[#This Row],[1-Jan-21]:[1-Dec-25]])</f>
        <v>4.0999999999999996</v>
      </c>
    </row>
    <row r="87" spans="1:73" x14ac:dyDescent="0.55000000000000004">
      <c r="A87">
        <v>86</v>
      </c>
      <c r="B87" t="s">
        <v>71</v>
      </c>
      <c r="C87" t="s">
        <v>72</v>
      </c>
      <c r="D87" t="s">
        <v>73</v>
      </c>
      <c r="E87" t="s">
        <v>134</v>
      </c>
      <c r="F87">
        <v>108438</v>
      </c>
      <c r="G87" t="s">
        <v>195</v>
      </c>
      <c r="H87" t="s">
        <v>76</v>
      </c>
      <c r="I87" t="s">
        <v>80</v>
      </c>
      <c r="J87">
        <v>241.97</v>
      </c>
      <c r="K87">
        <v>4</v>
      </c>
      <c r="L87">
        <v>5</v>
      </c>
      <c r="M87">
        <v>16</v>
      </c>
      <c r="N87">
        <v>0</v>
      </c>
      <c r="O87">
        <v>17</v>
      </c>
      <c r="P87">
        <v>9</v>
      </c>
      <c r="Q87">
        <v>10</v>
      </c>
      <c r="R87">
        <v>2</v>
      </c>
      <c r="S87">
        <v>4</v>
      </c>
      <c r="T87">
        <v>2</v>
      </c>
      <c r="U87">
        <v>9</v>
      </c>
      <c r="V87">
        <v>4</v>
      </c>
      <c r="W87">
        <v>0</v>
      </c>
      <c r="X87">
        <v>7</v>
      </c>
      <c r="Y87">
        <v>2</v>
      </c>
      <c r="Z87">
        <v>4</v>
      </c>
      <c r="AA87">
        <v>4</v>
      </c>
      <c r="AB87">
        <v>0</v>
      </c>
      <c r="AC87">
        <v>0</v>
      </c>
      <c r="AD87">
        <v>0</v>
      </c>
      <c r="AE87">
        <v>2</v>
      </c>
      <c r="AF87">
        <v>7</v>
      </c>
      <c r="AG87">
        <v>6</v>
      </c>
      <c r="AH87">
        <v>0</v>
      </c>
      <c r="AI87">
        <v>2</v>
      </c>
      <c r="AJ87">
        <v>0</v>
      </c>
      <c r="AK87">
        <v>0</v>
      </c>
      <c r="AL87">
        <v>4</v>
      </c>
      <c r="AM87">
        <v>0</v>
      </c>
      <c r="AN87">
        <v>2</v>
      </c>
      <c r="AO87">
        <v>3</v>
      </c>
      <c r="AP87">
        <v>1</v>
      </c>
      <c r="AQ87">
        <v>2</v>
      </c>
      <c r="AR87">
        <v>0</v>
      </c>
      <c r="AS87">
        <v>0</v>
      </c>
      <c r="AT87">
        <v>3</v>
      </c>
      <c r="AU87">
        <v>3</v>
      </c>
      <c r="AV87">
        <v>6</v>
      </c>
      <c r="AW87">
        <v>4</v>
      </c>
      <c r="AX87">
        <v>0</v>
      </c>
      <c r="AY87">
        <v>6</v>
      </c>
      <c r="AZ87">
        <v>6</v>
      </c>
      <c r="BA87">
        <v>16</v>
      </c>
      <c r="BB87">
        <v>0</v>
      </c>
      <c r="BC87">
        <v>4</v>
      </c>
      <c r="BD87">
        <v>3</v>
      </c>
      <c r="BE87">
        <v>7</v>
      </c>
      <c r="BF87">
        <v>4</v>
      </c>
      <c r="BG87">
        <v>0</v>
      </c>
      <c r="BH87">
        <v>4</v>
      </c>
      <c r="BI87">
        <v>8</v>
      </c>
      <c r="BJ87">
        <v>0</v>
      </c>
      <c r="BK87">
        <v>4</v>
      </c>
      <c r="BL87">
        <v>1</v>
      </c>
      <c r="BM87">
        <v>3</v>
      </c>
      <c r="BN87">
        <v>6</v>
      </c>
      <c r="BO87">
        <v>2</v>
      </c>
      <c r="BP87">
        <v>4</v>
      </c>
      <c r="BQ87">
        <v>5</v>
      </c>
      <c r="BR87">
        <v>0</v>
      </c>
      <c r="BS87">
        <v>44</v>
      </c>
      <c r="BU87" s="1">
        <f>AVERAGE(Table9[[#This Row],[1-Jan-21]:[1-Dec-25]])</f>
        <v>3.7833333333333332</v>
      </c>
    </row>
    <row r="88" spans="1:73" x14ac:dyDescent="0.55000000000000004">
      <c r="A88">
        <v>87</v>
      </c>
      <c r="B88" t="s">
        <v>71</v>
      </c>
      <c r="C88" t="s">
        <v>72</v>
      </c>
      <c r="D88" t="s">
        <v>73</v>
      </c>
      <c r="E88" t="s">
        <v>196</v>
      </c>
      <c r="F88">
        <v>155578</v>
      </c>
      <c r="G88" t="s">
        <v>197</v>
      </c>
      <c r="H88" t="s">
        <v>76</v>
      </c>
      <c r="I88" t="s">
        <v>198</v>
      </c>
      <c r="J88">
        <v>1505.26</v>
      </c>
      <c r="K88">
        <v>0</v>
      </c>
      <c r="L88">
        <v>6</v>
      </c>
      <c r="M88">
        <v>7</v>
      </c>
      <c r="N88">
        <v>1</v>
      </c>
      <c r="O88">
        <v>1</v>
      </c>
      <c r="P88">
        <v>6</v>
      </c>
      <c r="Q88">
        <v>1</v>
      </c>
      <c r="R88">
        <v>0</v>
      </c>
      <c r="S88">
        <v>2</v>
      </c>
      <c r="T88">
        <v>0</v>
      </c>
      <c r="U88">
        <v>1</v>
      </c>
      <c r="V88">
        <v>1</v>
      </c>
      <c r="W88">
        <v>5</v>
      </c>
      <c r="X88">
        <v>2</v>
      </c>
      <c r="Y88">
        <v>1</v>
      </c>
      <c r="Z88">
        <v>3</v>
      </c>
      <c r="AA88">
        <v>0</v>
      </c>
      <c r="AB88">
        <v>3</v>
      </c>
      <c r="AC88">
        <v>0</v>
      </c>
      <c r="AD88">
        <v>3</v>
      </c>
      <c r="AE88">
        <v>0</v>
      </c>
      <c r="AF88">
        <v>1</v>
      </c>
      <c r="AG88">
        <v>1</v>
      </c>
      <c r="AH88">
        <v>0</v>
      </c>
      <c r="AI88">
        <v>2</v>
      </c>
      <c r="AJ88">
        <v>0</v>
      </c>
      <c r="AK88">
        <v>3</v>
      </c>
      <c r="AL88">
        <v>1</v>
      </c>
      <c r="AM88">
        <v>4</v>
      </c>
      <c r="AN88">
        <v>3</v>
      </c>
      <c r="AO88">
        <v>4</v>
      </c>
      <c r="AP88">
        <v>1</v>
      </c>
      <c r="AQ88">
        <v>3</v>
      </c>
      <c r="AR88">
        <v>1</v>
      </c>
      <c r="AS88">
        <v>3</v>
      </c>
      <c r="AT88">
        <v>0</v>
      </c>
      <c r="AU88">
        <v>2</v>
      </c>
      <c r="AV88">
        <v>9</v>
      </c>
      <c r="AW88">
        <v>5</v>
      </c>
      <c r="AX88">
        <v>5</v>
      </c>
      <c r="AY88">
        <v>10</v>
      </c>
      <c r="AZ88">
        <v>2</v>
      </c>
      <c r="BA88">
        <v>5</v>
      </c>
      <c r="BB88">
        <v>4</v>
      </c>
      <c r="BC88">
        <v>2</v>
      </c>
      <c r="BD88">
        <v>7</v>
      </c>
      <c r="BE88">
        <v>5</v>
      </c>
      <c r="BF88">
        <v>4</v>
      </c>
      <c r="BG88">
        <v>6</v>
      </c>
      <c r="BH88">
        <v>4</v>
      </c>
      <c r="BI88">
        <v>2</v>
      </c>
      <c r="BJ88">
        <v>4</v>
      </c>
      <c r="BK88">
        <v>2</v>
      </c>
      <c r="BL88">
        <v>5</v>
      </c>
      <c r="BM88">
        <v>6</v>
      </c>
      <c r="BN88">
        <v>2</v>
      </c>
      <c r="BO88">
        <v>2</v>
      </c>
      <c r="BP88">
        <v>1</v>
      </c>
      <c r="BQ88">
        <v>7</v>
      </c>
      <c r="BR88">
        <v>5</v>
      </c>
      <c r="BS88">
        <v>51</v>
      </c>
      <c r="BU88" s="1">
        <f>AVERAGE(Table9[[#This Row],[1-Jan-21]:[1-Dec-25]])</f>
        <v>2.9333333333333331</v>
      </c>
    </row>
    <row r="89" spans="1:73" x14ac:dyDescent="0.55000000000000004">
      <c r="A89">
        <v>88</v>
      </c>
      <c r="B89" t="s">
        <v>71</v>
      </c>
      <c r="C89" t="s">
        <v>72</v>
      </c>
      <c r="D89" t="s">
        <v>73</v>
      </c>
      <c r="E89" t="s">
        <v>87</v>
      </c>
      <c r="F89">
        <v>159380</v>
      </c>
      <c r="G89" t="s">
        <v>199</v>
      </c>
      <c r="H89" t="s">
        <v>76</v>
      </c>
      <c r="I89" t="s">
        <v>80</v>
      </c>
      <c r="J89">
        <v>16.45</v>
      </c>
      <c r="K89">
        <v>0</v>
      </c>
      <c r="L89">
        <v>60</v>
      </c>
      <c r="M89">
        <v>27</v>
      </c>
      <c r="N89">
        <v>0</v>
      </c>
      <c r="O89">
        <v>14</v>
      </c>
      <c r="P89">
        <v>40</v>
      </c>
      <c r="Q89">
        <v>0</v>
      </c>
      <c r="R89">
        <v>0</v>
      </c>
      <c r="S89">
        <v>15</v>
      </c>
      <c r="T89">
        <v>20</v>
      </c>
      <c r="U89">
        <v>45</v>
      </c>
      <c r="V89">
        <v>0</v>
      </c>
      <c r="W89">
        <v>40</v>
      </c>
      <c r="X89">
        <v>0</v>
      </c>
      <c r="Y89">
        <v>110</v>
      </c>
      <c r="Z89">
        <v>0</v>
      </c>
      <c r="AA89">
        <v>0</v>
      </c>
      <c r="AB89">
        <v>0</v>
      </c>
      <c r="AC89">
        <v>6</v>
      </c>
      <c r="AD89">
        <v>26</v>
      </c>
      <c r="AE89">
        <v>40</v>
      </c>
      <c r="AF89">
        <v>12</v>
      </c>
      <c r="AG89">
        <v>6</v>
      </c>
      <c r="AH89">
        <v>20</v>
      </c>
      <c r="AI89">
        <v>50</v>
      </c>
      <c r="AJ89">
        <v>5</v>
      </c>
      <c r="AK89">
        <v>1</v>
      </c>
      <c r="AL89">
        <v>0</v>
      </c>
      <c r="AM89">
        <v>34</v>
      </c>
      <c r="AN89">
        <v>0</v>
      </c>
      <c r="AO89">
        <v>13</v>
      </c>
      <c r="AP89">
        <v>26</v>
      </c>
      <c r="AQ89">
        <v>12</v>
      </c>
      <c r="AR89">
        <v>15</v>
      </c>
      <c r="AS89">
        <v>0</v>
      </c>
      <c r="AT89">
        <v>39</v>
      </c>
      <c r="AU89">
        <v>2</v>
      </c>
      <c r="AV89">
        <v>30</v>
      </c>
      <c r="AW89">
        <v>8</v>
      </c>
      <c r="AX89">
        <v>0</v>
      </c>
      <c r="AY89">
        <v>30</v>
      </c>
      <c r="AZ89">
        <v>0</v>
      </c>
      <c r="BA89">
        <v>30</v>
      </c>
      <c r="BB89">
        <v>20</v>
      </c>
      <c r="BC89">
        <v>0</v>
      </c>
      <c r="BD89">
        <v>45</v>
      </c>
      <c r="BE89">
        <v>15</v>
      </c>
      <c r="BF89">
        <v>5</v>
      </c>
      <c r="BG89">
        <v>50</v>
      </c>
      <c r="BH89">
        <v>45</v>
      </c>
      <c r="BI89">
        <v>10</v>
      </c>
      <c r="BJ89">
        <v>60</v>
      </c>
      <c r="BK89">
        <v>21</v>
      </c>
      <c r="BL89">
        <v>20</v>
      </c>
      <c r="BM89">
        <v>20</v>
      </c>
      <c r="BN89">
        <v>0</v>
      </c>
      <c r="BO89">
        <v>0</v>
      </c>
      <c r="BP89">
        <v>38</v>
      </c>
      <c r="BQ89">
        <v>0</v>
      </c>
      <c r="BR89">
        <v>44</v>
      </c>
      <c r="BS89">
        <v>42</v>
      </c>
      <c r="BU89" s="1">
        <f>AVERAGE(Table9[[#This Row],[1-Jan-21]:[1-Dec-25]])</f>
        <v>19.483333333333334</v>
      </c>
    </row>
    <row r="90" spans="1:73" x14ac:dyDescent="0.55000000000000004">
      <c r="A90">
        <v>89</v>
      </c>
      <c r="B90" t="s">
        <v>71</v>
      </c>
      <c r="C90" t="s">
        <v>72</v>
      </c>
      <c r="D90" t="s">
        <v>73</v>
      </c>
      <c r="E90" t="s">
        <v>200</v>
      </c>
      <c r="F90">
        <v>191444</v>
      </c>
      <c r="G90" t="s">
        <v>201</v>
      </c>
      <c r="H90" t="s">
        <v>76</v>
      </c>
      <c r="I90" t="s">
        <v>80</v>
      </c>
      <c r="J90">
        <v>75.37</v>
      </c>
      <c r="K90">
        <v>0</v>
      </c>
      <c r="L90">
        <v>0</v>
      </c>
      <c r="M90">
        <v>4</v>
      </c>
      <c r="N90">
        <v>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5</v>
      </c>
      <c r="V90">
        <v>1</v>
      </c>
      <c r="W90">
        <v>0</v>
      </c>
      <c r="X90">
        <v>2</v>
      </c>
      <c r="Y90">
        <v>19</v>
      </c>
      <c r="Z90">
        <v>3</v>
      </c>
      <c r="AA90">
        <v>9</v>
      </c>
      <c r="AB90">
        <v>16</v>
      </c>
      <c r="AC90">
        <v>0</v>
      </c>
      <c r="AD90">
        <v>5</v>
      </c>
      <c r="AE90">
        <v>10</v>
      </c>
      <c r="AF90">
        <v>19</v>
      </c>
      <c r="AG90">
        <v>10</v>
      </c>
      <c r="AH90">
        <v>17</v>
      </c>
      <c r="AI90">
        <v>13</v>
      </c>
      <c r="AJ90">
        <v>9</v>
      </c>
      <c r="AK90">
        <v>14</v>
      </c>
      <c r="AL90">
        <v>4</v>
      </c>
      <c r="AM90">
        <v>10</v>
      </c>
      <c r="AN90">
        <v>12</v>
      </c>
      <c r="AO90">
        <v>4</v>
      </c>
      <c r="AP90">
        <v>9</v>
      </c>
      <c r="AQ90">
        <v>5</v>
      </c>
      <c r="AR90">
        <v>6</v>
      </c>
      <c r="AS90">
        <v>8</v>
      </c>
      <c r="AT90">
        <v>9</v>
      </c>
      <c r="AU90">
        <v>10</v>
      </c>
      <c r="AV90">
        <v>14</v>
      </c>
      <c r="AW90">
        <v>11</v>
      </c>
      <c r="AX90">
        <v>13</v>
      </c>
      <c r="AY90">
        <v>3</v>
      </c>
      <c r="AZ90">
        <v>18</v>
      </c>
      <c r="BA90">
        <v>13</v>
      </c>
      <c r="BB90">
        <v>4</v>
      </c>
      <c r="BC90">
        <v>8</v>
      </c>
      <c r="BD90">
        <v>3</v>
      </c>
      <c r="BE90">
        <v>8</v>
      </c>
      <c r="BF90">
        <v>12</v>
      </c>
      <c r="BG90">
        <v>11</v>
      </c>
      <c r="BH90">
        <v>13</v>
      </c>
      <c r="BI90">
        <v>7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</v>
      </c>
      <c r="BQ90">
        <v>18</v>
      </c>
      <c r="BR90">
        <v>9</v>
      </c>
      <c r="BS90">
        <v>45</v>
      </c>
      <c r="BU90" s="1">
        <f>AVERAGE(Table9[[#This Row],[1-Jan-21]:[1-Dec-25]])</f>
        <v>6.7833333333333332</v>
      </c>
    </row>
    <row r="91" spans="1:73" x14ac:dyDescent="0.55000000000000004">
      <c r="A91">
        <v>90</v>
      </c>
      <c r="B91" t="s">
        <v>71</v>
      </c>
      <c r="C91" t="s">
        <v>72</v>
      </c>
      <c r="D91" t="s">
        <v>73</v>
      </c>
      <c r="E91" t="s">
        <v>202</v>
      </c>
      <c r="F91">
        <v>180900</v>
      </c>
      <c r="G91" t="s">
        <v>203</v>
      </c>
      <c r="H91" t="s">
        <v>76</v>
      </c>
      <c r="I91" t="s">
        <v>80</v>
      </c>
      <c r="J91">
        <v>46.74</v>
      </c>
      <c r="K91">
        <v>0</v>
      </c>
      <c r="L91">
        <v>0</v>
      </c>
      <c r="M91">
        <v>20</v>
      </c>
      <c r="N91">
        <v>30</v>
      </c>
      <c r="O91">
        <v>8</v>
      </c>
      <c r="P91">
        <v>40</v>
      </c>
      <c r="Q91">
        <v>10</v>
      </c>
      <c r="R91">
        <v>25</v>
      </c>
      <c r="S91">
        <v>52</v>
      </c>
      <c r="T91">
        <v>33</v>
      </c>
      <c r="U91">
        <v>35</v>
      </c>
      <c r="V91">
        <v>30</v>
      </c>
      <c r="W91">
        <v>41</v>
      </c>
      <c r="X91">
        <v>19</v>
      </c>
      <c r="Y91">
        <v>14</v>
      </c>
      <c r="Z91">
        <v>23</v>
      </c>
      <c r="AA91">
        <v>39</v>
      </c>
      <c r="AB91">
        <v>46</v>
      </c>
      <c r="AC91">
        <v>21</v>
      </c>
      <c r="AD91">
        <v>17</v>
      </c>
      <c r="AE91">
        <v>55</v>
      </c>
      <c r="AF91">
        <v>40</v>
      </c>
      <c r="AG91">
        <v>50</v>
      </c>
      <c r="AH91">
        <v>60</v>
      </c>
      <c r="AI91">
        <v>52</v>
      </c>
      <c r="AJ91">
        <v>35</v>
      </c>
      <c r="AK91">
        <v>48</v>
      </c>
      <c r="AL91">
        <v>50</v>
      </c>
      <c r="AM91">
        <v>75</v>
      </c>
      <c r="AN91">
        <v>95</v>
      </c>
      <c r="AO91">
        <v>16</v>
      </c>
      <c r="AP91">
        <v>89</v>
      </c>
      <c r="AQ91">
        <v>50</v>
      </c>
      <c r="AR91">
        <v>30</v>
      </c>
      <c r="AS91">
        <v>47</v>
      </c>
      <c r="AT91">
        <v>40</v>
      </c>
      <c r="AU91">
        <v>62</v>
      </c>
      <c r="AV91">
        <v>82</v>
      </c>
      <c r="AW91">
        <v>96</v>
      </c>
      <c r="AX91">
        <v>105</v>
      </c>
      <c r="AY91">
        <v>176</v>
      </c>
      <c r="AZ91">
        <v>83</v>
      </c>
      <c r="BA91">
        <v>60</v>
      </c>
      <c r="BB91">
        <v>74</v>
      </c>
      <c r="BC91">
        <v>86</v>
      </c>
      <c r="BD91">
        <v>37</v>
      </c>
      <c r="BE91">
        <v>60</v>
      </c>
      <c r="BF91">
        <v>110</v>
      </c>
      <c r="BG91">
        <v>90</v>
      </c>
      <c r="BH91">
        <v>118</v>
      </c>
      <c r="BI91">
        <v>93</v>
      </c>
      <c r="BJ91">
        <v>140</v>
      </c>
      <c r="BK91">
        <v>84</v>
      </c>
      <c r="BL91">
        <v>70</v>
      </c>
      <c r="BM91">
        <v>93</v>
      </c>
      <c r="BN91">
        <v>78</v>
      </c>
      <c r="BO91">
        <v>133</v>
      </c>
      <c r="BP91">
        <v>58</v>
      </c>
      <c r="BQ91">
        <v>70</v>
      </c>
      <c r="BR91">
        <v>39</v>
      </c>
      <c r="BS91">
        <v>58</v>
      </c>
      <c r="BU91" s="1">
        <f>AVERAGE(Table9[[#This Row],[1-Jan-21]:[1-Dec-25]])</f>
        <v>57.2</v>
      </c>
    </row>
    <row r="92" spans="1:73" x14ac:dyDescent="0.55000000000000004">
      <c r="A92">
        <v>91</v>
      </c>
      <c r="B92" t="s">
        <v>71</v>
      </c>
      <c r="C92" t="s">
        <v>72</v>
      </c>
      <c r="D92" t="s">
        <v>73</v>
      </c>
      <c r="E92" t="s">
        <v>204</v>
      </c>
      <c r="F92">
        <v>109088</v>
      </c>
      <c r="G92" t="s">
        <v>205</v>
      </c>
      <c r="H92" t="s">
        <v>76</v>
      </c>
      <c r="I92" t="s">
        <v>105</v>
      </c>
      <c r="J92">
        <v>169</v>
      </c>
      <c r="K92">
        <v>0</v>
      </c>
      <c r="L92">
        <v>40</v>
      </c>
      <c r="M92">
        <v>0</v>
      </c>
      <c r="N92">
        <v>0</v>
      </c>
      <c r="O92">
        <v>340</v>
      </c>
      <c r="P92">
        <v>38</v>
      </c>
      <c r="Q92">
        <v>171</v>
      </c>
      <c r="R92">
        <v>0</v>
      </c>
      <c r="S92">
        <v>0</v>
      </c>
      <c r="T92">
        <v>100</v>
      </c>
      <c r="U92">
        <v>160</v>
      </c>
      <c r="V92">
        <v>197</v>
      </c>
      <c r="W92">
        <v>100</v>
      </c>
      <c r="X92">
        <v>0</v>
      </c>
      <c r="Y92">
        <v>80</v>
      </c>
      <c r="Z92">
        <v>160</v>
      </c>
      <c r="AA92">
        <v>20</v>
      </c>
      <c r="AB92">
        <v>120</v>
      </c>
      <c r="AC92">
        <v>40</v>
      </c>
      <c r="AD92">
        <v>40</v>
      </c>
      <c r="AE92">
        <v>0</v>
      </c>
      <c r="AF92">
        <v>0</v>
      </c>
      <c r="AG92">
        <v>0</v>
      </c>
      <c r="AH92">
        <v>0</v>
      </c>
      <c r="AI92">
        <v>100</v>
      </c>
      <c r="AJ92">
        <v>80</v>
      </c>
      <c r="AK92">
        <v>40</v>
      </c>
      <c r="AL92">
        <v>50</v>
      </c>
      <c r="AM92">
        <v>157</v>
      </c>
      <c r="AN92">
        <v>0</v>
      </c>
      <c r="AO92">
        <v>114</v>
      </c>
      <c r="AP92">
        <v>0</v>
      </c>
      <c r="AQ92">
        <v>20</v>
      </c>
      <c r="AR92">
        <v>285</v>
      </c>
      <c r="AS92">
        <v>0</v>
      </c>
      <c r="AT92">
        <v>0</v>
      </c>
      <c r="AU92">
        <v>0</v>
      </c>
      <c r="AV92">
        <v>140</v>
      </c>
      <c r="AW92">
        <v>0</v>
      </c>
      <c r="AX92">
        <v>60</v>
      </c>
      <c r="AY92">
        <v>46</v>
      </c>
      <c r="AZ92">
        <v>60</v>
      </c>
      <c r="BA92">
        <v>0</v>
      </c>
      <c r="BB92">
        <v>60</v>
      </c>
      <c r="BC92">
        <v>60</v>
      </c>
      <c r="BD92">
        <v>160</v>
      </c>
      <c r="BE92">
        <v>0</v>
      </c>
      <c r="BF92">
        <v>100</v>
      </c>
      <c r="BG92">
        <v>168</v>
      </c>
      <c r="BH92">
        <v>100</v>
      </c>
      <c r="BI92">
        <v>60</v>
      </c>
      <c r="BJ92">
        <v>60</v>
      </c>
      <c r="BK92">
        <v>103</v>
      </c>
      <c r="BL92">
        <v>171</v>
      </c>
      <c r="BM92">
        <v>323</v>
      </c>
      <c r="BN92">
        <v>80</v>
      </c>
      <c r="BO92">
        <v>338</v>
      </c>
      <c r="BP92">
        <v>0</v>
      </c>
      <c r="BQ92">
        <v>57</v>
      </c>
      <c r="BR92">
        <v>285</v>
      </c>
      <c r="BS92">
        <v>41</v>
      </c>
      <c r="BU92" s="1">
        <f>AVERAGE(Table9[[#This Row],[1-Jan-21]:[1-Dec-25]])</f>
        <v>81.38333333333334</v>
      </c>
    </row>
    <row r="93" spans="1:73" x14ac:dyDescent="0.55000000000000004">
      <c r="A93">
        <v>92</v>
      </c>
      <c r="B93" t="s">
        <v>71</v>
      </c>
      <c r="C93" t="s">
        <v>72</v>
      </c>
      <c r="D93" t="s">
        <v>73</v>
      </c>
      <c r="E93" t="s">
        <v>78</v>
      </c>
      <c r="F93">
        <v>109016</v>
      </c>
      <c r="G93" t="s">
        <v>206</v>
      </c>
      <c r="H93" t="s">
        <v>76</v>
      </c>
      <c r="I93" t="s">
        <v>80</v>
      </c>
      <c r="J93">
        <v>17.36</v>
      </c>
      <c r="K93">
        <v>58</v>
      </c>
      <c r="L93">
        <v>35</v>
      </c>
      <c r="M93">
        <v>12</v>
      </c>
      <c r="N93">
        <v>35</v>
      </c>
      <c r="O93">
        <v>25</v>
      </c>
      <c r="P93">
        <v>48</v>
      </c>
      <c r="Q93">
        <v>52</v>
      </c>
      <c r="R93">
        <v>81</v>
      </c>
      <c r="S93">
        <v>28</v>
      </c>
      <c r="T93">
        <v>44</v>
      </c>
      <c r="U93">
        <v>27</v>
      </c>
      <c r="V93">
        <v>76</v>
      </c>
      <c r="W93">
        <v>62</v>
      </c>
      <c r="X93">
        <v>43</v>
      </c>
      <c r="Y93">
        <v>24</v>
      </c>
      <c r="Z93">
        <v>72</v>
      </c>
      <c r="AA93">
        <v>70</v>
      </c>
      <c r="AB93">
        <v>34</v>
      </c>
      <c r="AC93">
        <v>12</v>
      </c>
      <c r="AD93">
        <v>6</v>
      </c>
      <c r="AE93">
        <v>10</v>
      </c>
      <c r="AF93">
        <v>30</v>
      </c>
      <c r="AG93">
        <v>11</v>
      </c>
      <c r="AH93">
        <v>11</v>
      </c>
      <c r="AI93">
        <v>20</v>
      </c>
      <c r="AJ93">
        <v>54</v>
      </c>
      <c r="AK93">
        <v>60</v>
      </c>
      <c r="AL93">
        <v>30</v>
      </c>
      <c r="AM93">
        <v>25</v>
      </c>
      <c r="AN93">
        <v>22</v>
      </c>
      <c r="AO93">
        <v>7</v>
      </c>
      <c r="AP93">
        <v>12</v>
      </c>
      <c r="AQ93">
        <v>23</v>
      </c>
      <c r="AR93">
        <v>14</v>
      </c>
      <c r="AS93">
        <v>158</v>
      </c>
      <c r="AT93">
        <v>75</v>
      </c>
      <c r="AU93">
        <v>13</v>
      </c>
      <c r="AV93">
        <v>29</v>
      </c>
      <c r="AW93">
        <v>58</v>
      </c>
      <c r="AX93">
        <v>4</v>
      </c>
      <c r="AY93">
        <v>5</v>
      </c>
      <c r="AZ93">
        <v>57</v>
      </c>
      <c r="BA93">
        <v>24</v>
      </c>
      <c r="BB93">
        <v>15</v>
      </c>
      <c r="BC93">
        <v>44</v>
      </c>
      <c r="BD93">
        <v>16</v>
      </c>
      <c r="BE93">
        <v>15</v>
      </c>
      <c r="BF93">
        <v>13</v>
      </c>
      <c r="BG93">
        <v>19</v>
      </c>
      <c r="BH93">
        <v>18</v>
      </c>
      <c r="BI93">
        <v>8</v>
      </c>
      <c r="BJ93">
        <v>30</v>
      </c>
      <c r="BK93">
        <v>13</v>
      </c>
      <c r="BL93">
        <v>15</v>
      </c>
      <c r="BM93">
        <v>7</v>
      </c>
      <c r="BN93">
        <v>25</v>
      </c>
      <c r="BO93">
        <v>10</v>
      </c>
      <c r="BP93">
        <v>17</v>
      </c>
      <c r="BQ93">
        <v>6</v>
      </c>
      <c r="BR93">
        <v>39</v>
      </c>
      <c r="BS93">
        <v>60</v>
      </c>
      <c r="BU93" s="1">
        <f>AVERAGE(Table9[[#This Row],[1-Jan-21]:[1-Dec-25]])</f>
        <v>31.766666666666666</v>
      </c>
    </row>
    <row r="94" spans="1:73" x14ac:dyDescent="0.55000000000000004">
      <c r="A94">
        <v>93</v>
      </c>
      <c r="B94" t="s">
        <v>71</v>
      </c>
      <c r="C94" t="s">
        <v>72</v>
      </c>
      <c r="D94" t="s">
        <v>73</v>
      </c>
      <c r="E94" t="s">
        <v>83</v>
      </c>
      <c r="F94">
        <v>108769</v>
      </c>
      <c r="G94" t="s">
        <v>207</v>
      </c>
      <c r="H94" t="s">
        <v>76</v>
      </c>
      <c r="I94" t="s">
        <v>77</v>
      </c>
      <c r="J94">
        <v>427.88</v>
      </c>
      <c r="K94">
        <v>514.6</v>
      </c>
      <c r="L94">
        <v>196</v>
      </c>
      <c r="M94">
        <v>251</v>
      </c>
      <c r="N94">
        <v>228</v>
      </c>
      <c r="O94">
        <v>241</v>
      </c>
      <c r="P94">
        <v>154.5</v>
      </c>
      <c r="Q94">
        <v>487.512</v>
      </c>
      <c r="R94">
        <v>364</v>
      </c>
      <c r="S94">
        <v>55</v>
      </c>
      <c r="T94">
        <v>320</v>
      </c>
      <c r="U94">
        <v>175.816</v>
      </c>
      <c r="V94">
        <v>507</v>
      </c>
      <c r="W94">
        <v>171</v>
      </c>
      <c r="X94">
        <v>24</v>
      </c>
      <c r="Y94">
        <v>467.178</v>
      </c>
      <c r="Z94">
        <v>334.5</v>
      </c>
      <c r="AA94">
        <v>444</v>
      </c>
      <c r="AB94">
        <v>187</v>
      </c>
      <c r="AC94">
        <v>259</v>
      </c>
      <c r="AD94">
        <v>295</v>
      </c>
      <c r="AE94">
        <v>431</v>
      </c>
      <c r="AF94">
        <v>160</v>
      </c>
      <c r="AG94">
        <v>199</v>
      </c>
      <c r="AH94">
        <v>363.44200000000001</v>
      </c>
      <c r="AI94">
        <v>221.94</v>
      </c>
      <c r="AJ94">
        <v>286</v>
      </c>
      <c r="AK94">
        <v>359.30399999999997</v>
      </c>
      <c r="AL94">
        <v>145</v>
      </c>
      <c r="AM94">
        <v>313.25</v>
      </c>
      <c r="AN94">
        <v>519</v>
      </c>
      <c r="AO94">
        <v>321</v>
      </c>
      <c r="AP94">
        <v>568.50400000000002</v>
      </c>
      <c r="AQ94">
        <v>598.79999999999995</v>
      </c>
      <c r="AR94">
        <v>371</v>
      </c>
      <c r="AS94">
        <v>738.66</v>
      </c>
      <c r="AT94">
        <v>531.76</v>
      </c>
      <c r="AU94">
        <v>416.89</v>
      </c>
      <c r="AV94">
        <v>285.69</v>
      </c>
      <c r="AW94">
        <v>495.18</v>
      </c>
      <c r="AX94">
        <v>780</v>
      </c>
      <c r="AY94">
        <v>834</v>
      </c>
      <c r="AZ94">
        <v>511</v>
      </c>
      <c r="BA94">
        <v>422</v>
      </c>
      <c r="BB94">
        <v>440.45800000000003</v>
      </c>
      <c r="BC94">
        <v>544.58799999999997</v>
      </c>
      <c r="BD94">
        <v>30</v>
      </c>
      <c r="BE94">
        <v>480.38</v>
      </c>
      <c r="BF94">
        <v>394</v>
      </c>
      <c r="BG94">
        <v>729.89200000000005</v>
      </c>
      <c r="BH94">
        <v>1079.43</v>
      </c>
      <c r="BI94">
        <v>317</v>
      </c>
      <c r="BJ94">
        <v>422</v>
      </c>
      <c r="BK94">
        <v>185</v>
      </c>
      <c r="BL94">
        <v>322</v>
      </c>
      <c r="BM94">
        <v>24</v>
      </c>
      <c r="BN94">
        <v>241.28</v>
      </c>
      <c r="BO94">
        <v>469</v>
      </c>
      <c r="BP94">
        <v>462.6</v>
      </c>
      <c r="BQ94">
        <v>464</v>
      </c>
      <c r="BR94">
        <v>205</v>
      </c>
      <c r="BS94">
        <v>60</v>
      </c>
      <c r="BU94" s="1">
        <f>AVERAGE(Table9[[#This Row],[1-Jan-21]:[1-Dec-25]])</f>
        <v>372.65256666666664</v>
      </c>
    </row>
    <row r="95" spans="1:73" x14ac:dyDescent="0.55000000000000004">
      <c r="A95">
        <v>94</v>
      </c>
      <c r="B95" t="s">
        <v>71</v>
      </c>
      <c r="C95" t="s">
        <v>72</v>
      </c>
      <c r="D95" t="s">
        <v>73</v>
      </c>
      <c r="E95" t="s">
        <v>85</v>
      </c>
      <c r="F95">
        <v>109783</v>
      </c>
      <c r="G95" t="s">
        <v>208</v>
      </c>
      <c r="H95" t="s">
        <v>76</v>
      </c>
      <c r="I95" t="s">
        <v>80</v>
      </c>
      <c r="J95">
        <v>121.57</v>
      </c>
      <c r="K95">
        <v>11</v>
      </c>
      <c r="L95">
        <v>23</v>
      </c>
      <c r="M95">
        <v>31</v>
      </c>
      <c r="N95">
        <v>25</v>
      </c>
      <c r="O95">
        <v>24</v>
      </c>
      <c r="P95">
        <v>35</v>
      </c>
      <c r="Q95">
        <v>6</v>
      </c>
      <c r="R95">
        <v>29</v>
      </c>
      <c r="S95">
        <v>25</v>
      </c>
      <c r="T95">
        <v>37</v>
      </c>
      <c r="U95">
        <v>35</v>
      </c>
      <c r="V95">
        <v>22</v>
      </c>
      <c r="W95">
        <v>18</v>
      </c>
      <c r="X95">
        <v>38</v>
      </c>
      <c r="Y95">
        <v>34</v>
      </c>
      <c r="Z95">
        <v>22</v>
      </c>
      <c r="AA95">
        <v>16</v>
      </c>
      <c r="AB95">
        <v>14</v>
      </c>
      <c r="AC95">
        <v>14</v>
      </c>
      <c r="AD95">
        <v>10</v>
      </c>
      <c r="AE95">
        <v>18</v>
      </c>
      <c r="AF95">
        <v>37</v>
      </c>
      <c r="AG95">
        <v>30</v>
      </c>
      <c r="AH95">
        <v>17</v>
      </c>
      <c r="AI95">
        <v>17</v>
      </c>
      <c r="AJ95">
        <v>28</v>
      </c>
      <c r="AK95">
        <v>19</v>
      </c>
      <c r="AL95">
        <v>9</v>
      </c>
      <c r="AM95">
        <v>38</v>
      </c>
      <c r="AN95">
        <v>28</v>
      </c>
      <c r="AO95">
        <v>17</v>
      </c>
      <c r="AP95">
        <v>9</v>
      </c>
      <c r="AQ95">
        <v>9</v>
      </c>
      <c r="AR95">
        <v>8</v>
      </c>
      <c r="AS95">
        <v>22</v>
      </c>
      <c r="AT95">
        <v>12</v>
      </c>
      <c r="AU95">
        <v>25</v>
      </c>
      <c r="AV95">
        <v>44</v>
      </c>
      <c r="AW95">
        <v>25</v>
      </c>
      <c r="AX95">
        <v>26</v>
      </c>
      <c r="AY95">
        <v>20</v>
      </c>
      <c r="AZ95">
        <v>31</v>
      </c>
      <c r="BA95">
        <v>18</v>
      </c>
      <c r="BB95">
        <v>22</v>
      </c>
      <c r="BC95">
        <v>23</v>
      </c>
      <c r="BD95">
        <v>16</v>
      </c>
      <c r="BE95">
        <v>35</v>
      </c>
      <c r="BF95">
        <v>30</v>
      </c>
      <c r="BG95">
        <v>36</v>
      </c>
      <c r="BH95">
        <v>61</v>
      </c>
      <c r="BI95">
        <v>35</v>
      </c>
      <c r="BJ95">
        <v>31</v>
      </c>
      <c r="BK95">
        <v>37</v>
      </c>
      <c r="BL95">
        <v>22</v>
      </c>
      <c r="BM95">
        <v>31</v>
      </c>
      <c r="BN95">
        <v>24</v>
      </c>
      <c r="BO95">
        <v>37</v>
      </c>
      <c r="BP95">
        <v>47</v>
      </c>
      <c r="BQ95">
        <v>23</v>
      </c>
      <c r="BR95">
        <v>11</v>
      </c>
      <c r="BS95">
        <v>60</v>
      </c>
      <c r="BU95" s="1">
        <f>AVERAGE(Table9[[#This Row],[1-Jan-21]:[1-Dec-25]])</f>
        <v>24.95</v>
      </c>
    </row>
    <row r="96" spans="1:73" x14ac:dyDescent="0.55000000000000004">
      <c r="A96">
        <v>95</v>
      </c>
      <c r="B96" t="s">
        <v>71</v>
      </c>
      <c r="C96" t="s">
        <v>72</v>
      </c>
      <c r="D96" t="s">
        <v>73</v>
      </c>
      <c r="E96" t="s">
        <v>87</v>
      </c>
      <c r="F96">
        <v>107615</v>
      </c>
      <c r="G96" t="s">
        <v>209</v>
      </c>
      <c r="H96" t="s">
        <v>76</v>
      </c>
      <c r="I96" t="s">
        <v>80</v>
      </c>
      <c r="J96">
        <v>43.65</v>
      </c>
      <c r="K96">
        <v>46</v>
      </c>
      <c r="L96">
        <v>2</v>
      </c>
      <c r="M96">
        <v>20</v>
      </c>
      <c r="N96">
        <v>0</v>
      </c>
      <c r="O96">
        <v>24</v>
      </c>
      <c r="P96">
        <v>23</v>
      </c>
      <c r="Q96">
        <v>10</v>
      </c>
      <c r="R96">
        <v>40</v>
      </c>
      <c r="S96">
        <v>26</v>
      </c>
      <c r="T96">
        <v>6</v>
      </c>
      <c r="U96">
        <v>30</v>
      </c>
      <c r="V96">
        <v>26</v>
      </c>
      <c r="W96">
        <v>80</v>
      </c>
      <c r="X96">
        <v>4</v>
      </c>
      <c r="Y96">
        <v>14</v>
      </c>
      <c r="Z96">
        <v>11</v>
      </c>
      <c r="AA96">
        <v>10</v>
      </c>
      <c r="AB96">
        <v>25</v>
      </c>
      <c r="AC96">
        <v>0</v>
      </c>
      <c r="AD96">
        <v>10</v>
      </c>
      <c r="AE96">
        <v>20</v>
      </c>
      <c r="AF96">
        <v>0</v>
      </c>
      <c r="AG96">
        <v>0</v>
      </c>
      <c r="AH96">
        <v>0</v>
      </c>
      <c r="AI96">
        <v>4</v>
      </c>
      <c r="AJ96">
        <v>37</v>
      </c>
      <c r="AK96">
        <v>60</v>
      </c>
      <c r="AL96">
        <v>0</v>
      </c>
      <c r="AM96">
        <v>46</v>
      </c>
      <c r="AN96">
        <v>20</v>
      </c>
      <c r="AO96">
        <v>0</v>
      </c>
      <c r="AP96">
        <v>21</v>
      </c>
      <c r="AQ96">
        <v>0</v>
      </c>
      <c r="AR96">
        <v>0</v>
      </c>
      <c r="AS96">
        <v>6</v>
      </c>
      <c r="AT96">
        <v>14</v>
      </c>
      <c r="AU96">
        <v>15</v>
      </c>
      <c r="AV96">
        <v>20</v>
      </c>
      <c r="AW96">
        <v>8</v>
      </c>
      <c r="AX96">
        <v>2</v>
      </c>
      <c r="AY96">
        <v>39</v>
      </c>
      <c r="AZ96">
        <v>25</v>
      </c>
      <c r="BA96">
        <v>10</v>
      </c>
      <c r="BB96">
        <v>16</v>
      </c>
      <c r="BC96">
        <v>0</v>
      </c>
      <c r="BD96">
        <v>15</v>
      </c>
      <c r="BE96">
        <v>10</v>
      </c>
      <c r="BF96">
        <v>0</v>
      </c>
      <c r="BG96">
        <v>30</v>
      </c>
      <c r="BH96">
        <v>12</v>
      </c>
      <c r="BI96">
        <v>40</v>
      </c>
      <c r="BJ96">
        <v>4</v>
      </c>
      <c r="BK96">
        <v>50</v>
      </c>
      <c r="BL96">
        <v>50</v>
      </c>
      <c r="BM96">
        <v>0</v>
      </c>
      <c r="BN96">
        <v>5</v>
      </c>
      <c r="BO96">
        <v>2</v>
      </c>
      <c r="BP96">
        <v>48</v>
      </c>
      <c r="BQ96">
        <v>6</v>
      </c>
      <c r="BR96">
        <v>20</v>
      </c>
      <c r="BS96">
        <v>48</v>
      </c>
      <c r="BU96" s="1">
        <f>AVERAGE(Table9[[#This Row],[1-Jan-21]:[1-Dec-25]])</f>
        <v>17.7</v>
      </c>
    </row>
    <row r="97" spans="1:73" x14ac:dyDescent="0.55000000000000004">
      <c r="A97">
        <v>96</v>
      </c>
      <c r="B97" t="s">
        <v>71</v>
      </c>
      <c r="C97" t="s">
        <v>72</v>
      </c>
      <c r="D97" t="s">
        <v>73</v>
      </c>
      <c r="E97" t="s">
        <v>87</v>
      </c>
      <c r="F97">
        <v>107753</v>
      </c>
      <c r="G97" t="s">
        <v>210</v>
      </c>
      <c r="H97" t="s">
        <v>76</v>
      </c>
      <c r="I97" t="s">
        <v>80</v>
      </c>
      <c r="J97">
        <v>63.68</v>
      </c>
      <c r="K97">
        <v>44</v>
      </c>
      <c r="L97">
        <v>10</v>
      </c>
      <c r="M97">
        <v>10</v>
      </c>
      <c r="N97">
        <v>10</v>
      </c>
      <c r="O97">
        <v>0</v>
      </c>
      <c r="P97">
        <v>23</v>
      </c>
      <c r="Q97">
        <v>0</v>
      </c>
      <c r="R97">
        <v>10</v>
      </c>
      <c r="S97">
        <v>11</v>
      </c>
      <c r="T97">
        <v>30</v>
      </c>
      <c r="U97">
        <v>19</v>
      </c>
      <c r="V97">
        <v>0</v>
      </c>
      <c r="W97">
        <v>16</v>
      </c>
      <c r="X97">
        <v>22</v>
      </c>
      <c r="Y97">
        <v>15</v>
      </c>
      <c r="Z97">
        <v>14</v>
      </c>
      <c r="AA97">
        <v>0</v>
      </c>
      <c r="AB97">
        <v>12</v>
      </c>
      <c r="AC97">
        <v>40</v>
      </c>
      <c r="AD97">
        <v>20</v>
      </c>
      <c r="AE97">
        <v>18</v>
      </c>
      <c r="AF97">
        <v>12</v>
      </c>
      <c r="AG97">
        <v>8</v>
      </c>
      <c r="AH97">
        <v>4</v>
      </c>
      <c r="AI97">
        <v>20</v>
      </c>
      <c r="AJ97">
        <v>0</v>
      </c>
      <c r="AK97">
        <v>0</v>
      </c>
      <c r="AL97">
        <v>30</v>
      </c>
      <c r="AM97">
        <v>24</v>
      </c>
      <c r="AN97">
        <v>0</v>
      </c>
      <c r="AO97">
        <v>0</v>
      </c>
      <c r="AP97">
        <v>6</v>
      </c>
      <c r="AQ97">
        <v>0</v>
      </c>
      <c r="AR97">
        <v>0</v>
      </c>
      <c r="AS97">
        <v>0</v>
      </c>
      <c r="AT97">
        <v>7</v>
      </c>
      <c r="AU97">
        <v>9</v>
      </c>
      <c r="AV97">
        <v>0</v>
      </c>
      <c r="AW97">
        <v>0</v>
      </c>
      <c r="AX97">
        <v>9</v>
      </c>
      <c r="AY97">
        <v>0</v>
      </c>
      <c r="AZ97">
        <v>10</v>
      </c>
      <c r="BA97">
        <v>0</v>
      </c>
      <c r="BB97">
        <v>14</v>
      </c>
      <c r="BC97">
        <v>0</v>
      </c>
      <c r="BD97">
        <v>16</v>
      </c>
      <c r="BE97">
        <v>0</v>
      </c>
      <c r="BF97">
        <v>5</v>
      </c>
      <c r="BG97">
        <v>20</v>
      </c>
      <c r="BH97">
        <v>0</v>
      </c>
      <c r="BI97">
        <v>28</v>
      </c>
      <c r="BJ97">
        <v>24</v>
      </c>
      <c r="BK97">
        <v>31</v>
      </c>
      <c r="BL97">
        <v>8</v>
      </c>
      <c r="BM97">
        <v>0</v>
      </c>
      <c r="BN97">
        <v>28</v>
      </c>
      <c r="BO97">
        <v>19</v>
      </c>
      <c r="BP97">
        <v>15</v>
      </c>
      <c r="BQ97">
        <v>40</v>
      </c>
      <c r="BR97">
        <v>0</v>
      </c>
      <c r="BS97">
        <v>40</v>
      </c>
      <c r="BU97" s="1">
        <f>AVERAGE(Table9[[#This Row],[1-Jan-21]:[1-Dec-25]])</f>
        <v>11.85</v>
      </c>
    </row>
    <row r="98" spans="1:73" x14ac:dyDescent="0.55000000000000004">
      <c r="A98">
        <v>97</v>
      </c>
      <c r="B98" t="s">
        <v>71</v>
      </c>
      <c r="C98" t="s">
        <v>72</v>
      </c>
      <c r="D98" t="s">
        <v>73</v>
      </c>
      <c r="E98" t="s">
        <v>87</v>
      </c>
      <c r="F98">
        <v>107611</v>
      </c>
      <c r="G98" t="s">
        <v>211</v>
      </c>
      <c r="H98" t="s">
        <v>76</v>
      </c>
      <c r="I98" t="s">
        <v>80</v>
      </c>
      <c r="J98">
        <v>4.08</v>
      </c>
      <c r="K98">
        <v>250</v>
      </c>
      <c r="L98">
        <v>497</v>
      </c>
      <c r="M98">
        <v>170</v>
      </c>
      <c r="N98">
        <v>305</v>
      </c>
      <c r="O98">
        <v>418</v>
      </c>
      <c r="P98">
        <v>455</v>
      </c>
      <c r="Q98">
        <v>125</v>
      </c>
      <c r="R98">
        <v>170</v>
      </c>
      <c r="S98">
        <v>450</v>
      </c>
      <c r="T98">
        <v>148</v>
      </c>
      <c r="U98">
        <v>155</v>
      </c>
      <c r="V98">
        <v>128</v>
      </c>
      <c r="W98">
        <v>435</v>
      </c>
      <c r="X98">
        <v>475</v>
      </c>
      <c r="Y98">
        <v>165</v>
      </c>
      <c r="Z98">
        <v>95</v>
      </c>
      <c r="AA98">
        <v>265</v>
      </c>
      <c r="AB98">
        <v>135</v>
      </c>
      <c r="AC98">
        <v>299</v>
      </c>
      <c r="AD98">
        <v>222</v>
      </c>
      <c r="AE98">
        <v>205</v>
      </c>
      <c r="AF98">
        <v>330</v>
      </c>
      <c r="AG98">
        <v>113</v>
      </c>
      <c r="AH98">
        <v>365</v>
      </c>
      <c r="AI98">
        <v>117</v>
      </c>
      <c r="AJ98">
        <v>331</v>
      </c>
      <c r="AK98">
        <v>142</v>
      </c>
      <c r="AL98">
        <v>39</v>
      </c>
      <c r="AM98">
        <v>133</v>
      </c>
      <c r="AN98">
        <v>227</v>
      </c>
      <c r="AO98">
        <v>170</v>
      </c>
      <c r="AP98">
        <v>206</v>
      </c>
      <c r="AQ98">
        <v>90</v>
      </c>
      <c r="AR98">
        <v>42</v>
      </c>
      <c r="AS98">
        <v>267</v>
      </c>
      <c r="AT98">
        <v>171</v>
      </c>
      <c r="AU98">
        <v>30</v>
      </c>
      <c r="AV98">
        <v>207</v>
      </c>
      <c r="AW98">
        <v>430</v>
      </c>
      <c r="AX98">
        <v>438</v>
      </c>
      <c r="AY98">
        <v>509</v>
      </c>
      <c r="AZ98">
        <v>187</v>
      </c>
      <c r="BA98">
        <v>435</v>
      </c>
      <c r="BB98">
        <v>125</v>
      </c>
      <c r="BC98">
        <v>255</v>
      </c>
      <c r="BD98">
        <v>122</v>
      </c>
      <c r="BE98">
        <v>395</v>
      </c>
      <c r="BF98">
        <v>76</v>
      </c>
      <c r="BG98">
        <v>666</v>
      </c>
      <c r="BH98">
        <v>505</v>
      </c>
      <c r="BI98">
        <v>130</v>
      </c>
      <c r="BJ98">
        <v>265</v>
      </c>
      <c r="BK98">
        <v>75</v>
      </c>
      <c r="BL98">
        <v>30</v>
      </c>
      <c r="BM98">
        <v>150</v>
      </c>
      <c r="BN98">
        <v>299</v>
      </c>
      <c r="BO98">
        <v>104</v>
      </c>
      <c r="BP98">
        <v>123</v>
      </c>
      <c r="BQ98">
        <v>289</v>
      </c>
      <c r="BR98">
        <v>38</v>
      </c>
      <c r="BS98">
        <v>60</v>
      </c>
      <c r="BU98" s="1">
        <f>AVERAGE(Table9[[#This Row],[1-Jan-21]:[1-Dec-25]])</f>
        <v>236.55</v>
      </c>
    </row>
    <row r="99" spans="1:73" x14ac:dyDescent="0.55000000000000004">
      <c r="A99">
        <v>98</v>
      </c>
      <c r="B99" t="s">
        <v>71</v>
      </c>
      <c r="C99" t="s">
        <v>72</v>
      </c>
      <c r="D99" t="s">
        <v>73</v>
      </c>
      <c r="E99" t="s">
        <v>87</v>
      </c>
      <c r="F99">
        <v>107625</v>
      </c>
      <c r="G99" t="s">
        <v>212</v>
      </c>
      <c r="H99" t="s">
        <v>76</v>
      </c>
      <c r="I99" t="s">
        <v>80</v>
      </c>
      <c r="J99">
        <v>16.260000000000002</v>
      </c>
      <c r="K99">
        <v>262</v>
      </c>
      <c r="L99">
        <v>475</v>
      </c>
      <c r="M99">
        <v>473</v>
      </c>
      <c r="N99">
        <v>681</v>
      </c>
      <c r="O99">
        <v>502</v>
      </c>
      <c r="P99">
        <v>403</v>
      </c>
      <c r="Q99">
        <v>734</v>
      </c>
      <c r="R99">
        <v>602</v>
      </c>
      <c r="S99">
        <v>459</v>
      </c>
      <c r="T99">
        <v>513</v>
      </c>
      <c r="U99">
        <v>421</v>
      </c>
      <c r="V99">
        <v>502</v>
      </c>
      <c r="W99">
        <v>280</v>
      </c>
      <c r="X99">
        <v>267</v>
      </c>
      <c r="Y99">
        <v>293</v>
      </c>
      <c r="Z99">
        <v>287</v>
      </c>
      <c r="AA99">
        <v>362</v>
      </c>
      <c r="AB99">
        <v>272</v>
      </c>
      <c r="AC99">
        <v>280</v>
      </c>
      <c r="AD99">
        <v>135</v>
      </c>
      <c r="AE99">
        <v>70</v>
      </c>
      <c r="AF99">
        <v>220</v>
      </c>
      <c r="AG99">
        <v>263</v>
      </c>
      <c r="AH99">
        <v>228</v>
      </c>
      <c r="AI99">
        <v>220</v>
      </c>
      <c r="AJ99">
        <v>140</v>
      </c>
      <c r="AK99">
        <v>20</v>
      </c>
      <c r="AL99">
        <v>44</v>
      </c>
      <c r="AM99">
        <v>300</v>
      </c>
      <c r="AN99">
        <v>143</v>
      </c>
      <c r="AO99">
        <v>224</v>
      </c>
      <c r="AP99">
        <v>100</v>
      </c>
      <c r="AQ99">
        <v>228</v>
      </c>
      <c r="AR99">
        <v>222</v>
      </c>
      <c r="AS99">
        <v>30</v>
      </c>
      <c r="AT99">
        <v>143</v>
      </c>
      <c r="AU99">
        <v>235</v>
      </c>
      <c r="AV99">
        <v>179</v>
      </c>
      <c r="AW99">
        <v>81</v>
      </c>
      <c r="AX99">
        <v>25</v>
      </c>
      <c r="AY99">
        <v>285</v>
      </c>
      <c r="AZ99">
        <v>170</v>
      </c>
      <c r="BA99">
        <v>328</v>
      </c>
      <c r="BB99">
        <v>236</v>
      </c>
      <c r="BC99">
        <v>90</v>
      </c>
      <c r="BD99">
        <v>415</v>
      </c>
      <c r="BE99">
        <v>344</v>
      </c>
      <c r="BF99">
        <v>314</v>
      </c>
      <c r="BG99">
        <v>386</v>
      </c>
      <c r="BH99">
        <v>190</v>
      </c>
      <c r="BI99">
        <v>356</v>
      </c>
      <c r="BJ99">
        <v>192</v>
      </c>
      <c r="BK99">
        <v>355</v>
      </c>
      <c r="BL99">
        <v>184</v>
      </c>
      <c r="BM99">
        <v>490</v>
      </c>
      <c r="BN99">
        <v>437</v>
      </c>
      <c r="BO99">
        <v>258</v>
      </c>
      <c r="BP99">
        <v>74</v>
      </c>
      <c r="BQ99">
        <v>130</v>
      </c>
      <c r="BR99">
        <v>430</v>
      </c>
      <c r="BS99">
        <v>60</v>
      </c>
      <c r="BU99" s="1">
        <f>AVERAGE(Table9[[#This Row],[1-Jan-21]:[1-Dec-25]])</f>
        <v>283.03333333333336</v>
      </c>
    </row>
    <row r="100" spans="1:73" x14ac:dyDescent="0.55000000000000004">
      <c r="A100">
        <v>99</v>
      </c>
      <c r="B100" t="s">
        <v>71</v>
      </c>
      <c r="C100" t="s">
        <v>72</v>
      </c>
      <c r="D100" t="s">
        <v>73</v>
      </c>
      <c r="E100" t="s">
        <v>89</v>
      </c>
      <c r="F100">
        <v>109163</v>
      </c>
      <c r="G100" t="s">
        <v>213</v>
      </c>
      <c r="H100" t="s">
        <v>76</v>
      </c>
      <c r="I100" t="s">
        <v>80</v>
      </c>
      <c r="J100">
        <v>133.15</v>
      </c>
      <c r="K100">
        <v>12</v>
      </c>
      <c r="L100">
        <v>19</v>
      </c>
      <c r="M100">
        <v>11</v>
      </c>
      <c r="N100">
        <v>22</v>
      </c>
      <c r="O100">
        <v>16</v>
      </c>
      <c r="P100">
        <v>18</v>
      </c>
      <c r="Q100">
        <v>12</v>
      </c>
      <c r="R100">
        <v>23</v>
      </c>
      <c r="S100">
        <v>3</v>
      </c>
      <c r="T100">
        <v>22</v>
      </c>
      <c r="U100">
        <v>2</v>
      </c>
      <c r="V100">
        <v>18</v>
      </c>
      <c r="W100">
        <v>26</v>
      </c>
      <c r="X100">
        <v>33</v>
      </c>
      <c r="Y100">
        <v>5</v>
      </c>
      <c r="Z100">
        <v>14</v>
      </c>
      <c r="AA100">
        <v>33</v>
      </c>
      <c r="AB100">
        <v>20</v>
      </c>
      <c r="AC100">
        <v>26</v>
      </c>
      <c r="AD100">
        <v>21</v>
      </c>
      <c r="AE100">
        <v>43</v>
      </c>
      <c r="AF100">
        <v>26</v>
      </c>
      <c r="AG100">
        <v>51</v>
      </c>
      <c r="AH100">
        <v>36</v>
      </c>
      <c r="AI100">
        <v>24</v>
      </c>
      <c r="AJ100">
        <v>30</v>
      </c>
      <c r="AK100">
        <v>66</v>
      </c>
      <c r="AL100">
        <v>0</v>
      </c>
      <c r="AM100">
        <v>29</v>
      </c>
      <c r="AN100">
        <v>6</v>
      </c>
      <c r="AO100">
        <v>10</v>
      </c>
      <c r="AP100">
        <v>1</v>
      </c>
      <c r="AQ100">
        <v>30</v>
      </c>
      <c r="AR100">
        <v>12</v>
      </c>
      <c r="AS100">
        <v>23</v>
      </c>
      <c r="AT100">
        <v>30</v>
      </c>
      <c r="AU100">
        <v>25</v>
      </c>
      <c r="AV100">
        <v>14</v>
      </c>
      <c r="AW100">
        <v>15</v>
      </c>
      <c r="AX100">
        <v>1</v>
      </c>
      <c r="AY100">
        <v>23</v>
      </c>
      <c r="AZ100">
        <v>27</v>
      </c>
      <c r="BA100">
        <v>20</v>
      </c>
      <c r="BB100">
        <v>9</v>
      </c>
      <c r="BC100">
        <v>26</v>
      </c>
      <c r="BD100">
        <v>28</v>
      </c>
      <c r="BE100">
        <v>27</v>
      </c>
      <c r="BF100">
        <v>22</v>
      </c>
      <c r="BG100">
        <v>26</v>
      </c>
      <c r="BH100">
        <v>13</v>
      </c>
      <c r="BI100">
        <v>46</v>
      </c>
      <c r="BJ100">
        <v>18</v>
      </c>
      <c r="BK100">
        <v>0</v>
      </c>
      <c r="BL100">
        <v>12</v>
      </c>
      <c r="BM100">
        <v>4</v>
      </c>
      <c r="BN100">
        <v>25</v>
      </c>
      <c r="BO100">
        <v>38</v>
      </c>
      <c r="BP100">
        <v>0</v>
      </c>
      <c r="BQ100">
        <v>20</v>
      </c>
      <c r="BR100">
        <v>15</v>
      </c>
      <c r="BS100">
        <v>57</v>
      </c>
      <c r="BU100" s="1">
        <f>AVERAGE(Table9[[#This Row],[1-Jan-21]:[1-Dec-25]])</f>
        <v>20.45</v>
      </c>
    </row>
    <row r="101" spans="1:73" x14ac:dyDescent="0.55000000000000004">
      <c r="A101">
        <v>100</v>
      </c>
      <c r="B101" t="s">
        <v>71</v>
      </c>
      <c r="C101" t="s">
        <v>72</v>
      </c>
      <c r="D101" t="s">
        <v>73</v>
      </c>
      <c r="E101" t="s">
        <v>91</v>
      </c>
      <c r="F101">
        <v>128002</v>
      </c>
      <c r="G101" t="s">
        <v>214</v>
      </c>
      <c r="H101" t="s">
        <v>76</v>
      </c>
      <c r="I101" t="s">
        <v>80</v>
      </c>
      <c r="J101">
        <v>138.94</v>
      </c>
      <c r="K101">
        <v>45</v>
      </c>
      <c r="L101">
        <v>79</v>
      </c>
      <c r="M101">
        <v>122</v>
      </c>
      <c r="N101">
        <v>70</v>
      </c>
      <c r="O101">
        <v>206</v>
      </c>
      <c r="P101">
        <v>116</v>
      </c>
      <c r="Q101">
        <v>58</v>
      </c>
      <c r="R101">
        <v>150</v>
      </c>
      <c r="S101">
        <v>95</v>
      </c>
      <c r="T101">
        <v>168</v>
      </c>
      <c r="U101">
        <v>268</v>
      </c>
      <c r="V101">
        <v>110</v>
      </c>
      <c r="W101">
        <v>142</v>
      </c>
      <c r="X101">
        <v>150</v>
      </c>
      <c r="Y101">
        <v>194</v>
      </c>
      <c r="Z101">
        <v>136</v>
      </c>
      <c r="AA101">
        <v>164</v>
      </c>
      <c r="AB101">
        <v>124</v>
      </c>
      <c r="AC101">
        <v>32</v>
      </c>
      <c r="AD101">
        <v>26</v>
      </c>
      <c r="AE101">
        <v>36</v>
      </c>
      <c r="AF101">
        <v>52</v>
      </c>
      <c r="AG101">
        <v>32</v>
      </c>
      <c r="AH101">
        <v>30</v>
      </c>
      <c r="AI101">
        <v>52</v>
      </c>
      <c r="AJ101">
        <v>54</v>
      </c>
      <c r="AK101">
        <v>58</v>
      </c>
      <c r="AL101">
        <v>32</v>
      </c>
      <c r="AM101">
        <v>72</v>
      </c>
      <c r="AN101">
        <v>64</v>
      </c>
      <c r="AO101">
        <v>56</v>
      </c>
      <c r="AP101">
        <v>48</v>
      </c>
      <c r="AQ101">
        <v>68</v>
      </c>
      <c r="AR101">
        <v>66</v>
      </c>
      <c r="AS101">
        <v>78</v>
      </c>
      <c r="AT101">
        <v>87</v>
      </c>
      <c r="AU101">
        <v>81</v>
      </c>
      <c r="AV101">
        <v>76</v>
      </c>
      <c r="AW101">
        <v>106</v>
      </c>
      <c r="AX101">
        <v>96</v>
      </c>
      <c r="AY101">
        <v>114</v>
      </c>
      <c r="AZ101">
        <v>104</v>
      </c>
      <c r="BA101">
        <v>57</v>
      </c>
      <c r="BB101">
        <v>94</v>
      </c>
      <c r="BC101">
        <v>70</v>
      </c>
      <c r="BD101">
        <v>76</v>
      </c>
      <c r="BE101">
        <v>118</v>
      </c>
      <c r="BF101">
        <v>101</v>
      </c>
      <c r="BG101">
        <v>126</v>
      </c>
      <c r="BH101">
        <v>94</v>
      </c>
      <c r="BI101">
        <v>68</v>
      </c>
      <c r="BJ101">
        <v>44</v>
      </c>
      <c r="BK101">
        <v>76</v>
      </c>
      <c r="BL101">
        <v>92</v>
      </c>
      <c r="BM101">
        <v>64</v>
      </c>
      <c r="BN101">
        <v>49</v>
      </c>
      <c r="BO101">
        <v>58</v>
      </c>
      <c r="BP101">
        <v>72</v>
      </c>
      <c r="BQ101">
        <v>95</v>
      </c>
      <c r="BR101">
        <v>92</v>
      </c>
      <c r="BS101">
        <v>60</v>
      </c>
      <c r="BU101" s="1">
        <f>AVERAGE(Table9[[#This Row],[1-Jan-21]:[1-Dec-25]])</f>
        <v>89.38333333333334</v>
      </c>
    </row>
    <row r="102" spans="1:73" x14ac:dyDescent="0.55000000000000004">
      <c r="A102">
        <v>101</v>
      </c>
      <c r="B102" t="s">
        <v>71</v>
      </c>
      <c r="C102" t="s">
        <v>72</v>
      </c>
      <c r="D102" t="s">
        <v>73</v>
      </c>
      <c r="E102" t="s">
        <v>91</v>
      </c>
      <c r="F102">
        <v>163425</v>
      </c>
      <c r="G102" t="s">
        <v>215</v>
      </c>
      <c r="H102" t="s">
        <v>76</v>
      </c>
      <c r="I102" t="s">
        <v>80</v>
      </c>
      <c r="J102">
        <v>185.26</v>
      </c>
      <c r="K102">
        <v>119</v>
      </c>
      <c r="L102">
        <v>78</v>
      </c>
      <c r="M102">
        <v>108</v>
      </c>
      <c r="N102">
        <v>80</v>
      </c>
      <c r="O102">
        <v>64</v>
      </c>
      <c r="P102">
        <v>76</v>
      </c>
      <c r="Q102">
        <v>60</v>
      </c>
      <c r="R102">
        <v>40</v>
      </c>
      <c r="S102">
        <v>50</v>
      </c>
      <c r="T102">
        <v>78</v>
      </c>
      <c r="U102">
        <v>133</v>
      </c>
      <c r="V102">
        <v>38</v>
      </c>
      <c r="W102">
        <v>84</v>
      </c>
      <c r="X102">
        <v>30</v>
      </c>
      <c r="Y102">
        <v>85</v>
      </c>
      <c r="Z102">
        <v>89</v>
      </c>
      <c r="AA102">
        <v>82</v>
      </c>
      <c r="AB102">
        <v>50</v>
      </c>
      <c r="AC102">
        <v>56</v>
      </c>
      <c r="AD102">
        <v>28</v>
      </c>
      <c r="AE102">
        <v>10</v>
      </c>
      <c r="AF102">
        <v>40</v>
      </c>
      <c r="AG102">
        <v>36</v>
      </c>
      <c r="AH102">
        <v>12</v>
      </c>
      <c r="AI102">
        <v>46</v>
      </c>
      <c r="AJ102">
        <v>43</v>
      </c>
      <c r="AK102">
        <v>30</v>
      </c>
      <c r="AL102">
        <v>26</v>
      </c>
      <c r="AM102">
        <v>34</v>
      </c>
      <c r="AN102">
        <v>16</v>
      </c>
      <c r="AO102">
        <v>44</v>
      </c>
      <c r="AP102">
        <v>24</v>
      </c>
      <c r="AQ102">
        <v>24</v>
      </c>
      <c r="AR102">
        <v>32</v>
      </c>
      <c r="AS102">
        <v>38</v>
      </c>
      <c r="AT102">
        <v>32</v>
      </c>
      <c r="AU102">
        <v>18</v>
      </c>
      <c r="AV102">
        <v>35</v>
      </c>
      <c r="AW102">
        <v>15</v>
      </c>
      <c r="AX102">
        <v>32</v>
      </c>
      <c r="AY102">
        <v>45</v>
      </c>
      <c r="AZ102">
        <v>58</v>
      </c>
      <c r="BA102">
        <v>15</v>
      </c>
      <c r="BB102">
        <v>32</v>
      </c>
      <c r="BC102">
        <v>66</v>
      </c>
      <c r="BD102">
        <v>31</v>
      </c>
      <c r="BE102">
        <v>49</v>
      </c>
      <c r="BF102">
        <v>43</v>
      </c>
      <c r="BG102">
        <v>74</v>
      </c>
      <c r="BH102">
        <v>52</v>
      </c>
      <c r="BI102">
        <v>36</v>
      </c>
      <c r="BJ102">
        <v>62</v>
      </c>
      <c r="BK102">
        <v>38</v>
      </c>
      <c r="BL102">
        <v>87</v>
      </c>
      <c r="BM102">
        <v>48</v>
      </c>
      <c r="BN102">
        <v>86</v>
      </c>
      <c r="BO102">
        <v>68</v>
      </c>
      <c r="BP102">
        <v>8</v>
      </c>
      <c r="BQ102">
        <v>58</v>
      </c>
      <c r="BR102">
        <v>8</v>
      </c>
      <c r="BS102">
        <v>60</v>
      </c>
      <c r="BU102" s="1">
        <f>AVERAGE(Table9[[#This Row],[1-Jan-21]:[1-Dec-25]])</f>
        <v>49.65</v>
      </c>
    </row>
    <row r="103" spans="1:73" x14ac:dyDescent="0.55000000000000004">
      <c r="A103">
        <v>102</v>
      </c>
      <c r="B103" t="s">
        <v>71</v>
      </c>
      <c r="C103" t="s">
        <v>72</v>
      </c>
      <c r="D103" t="s">
        <v>73</v>
      </c>
      <c r="E103" t="s">
        <v>161</v>
      </c>
      <c r="F103">
        <v>110577</v>
      </c>
      <c r="G103" t="s">
        <v>216</v>
      </c>
      <c r="H103" t="s">
        <v>76</v>
      </c>
      <c r="I103" t="s">
        <v>80</v>
      </c>
      <c r="J103">
        <v>23</v>
      </c>
      <c r="K103">
        <v>57</v>
      </c>
      <c r="L103">
        <v>71</v>
      </c>
      <c r="M103">
        <v>123</v>
      </c>
      <c r="N103">
        <v>89</v>
      </c>
      <c r="O103">
        <v>166</v>
      </c>
      <c r="P103">
        <v>180</v>
      </c>
      <c r="Q103">
        <v>96</v>
      </c>
      <c r="R103">
        <v>138</v>
      </c>
      <c r="S103">
        <v>143</v>
      </c>
      <c r="T103">
        <v>215</v>
      </c>
      <c r="U103">
        <v>119</v>
      </c>
      <c r="V103">
        <v>67</v>
      </c>
      <c r="W103">
        <v>156</v>
      </c>
      <c r="X103">
        <v>144</v>
      </c>
      <c r="Y103">
        <v>110</v>
      </c>
      <c r="Z103">
        <v>91</v>
      </c>
      <c r="AA103">
        <v>133</v>
      </c>
      <c r="AB103">
        <v>127</v>
      </c>
      <c r="AC103">
        <v>92</v>
      </c>
      <c r="AD103">
        <v>85</v>
      </c>
      <c r="AE103">
        <v>121</v>
      </c>
      <c r="AF103">
        <v>120</v>
      </c>
      <c r="AG103">
        <v>114</v>
      </c>
      <c r="AH103">
        <v>90</v>
      </c>
      <c r="AI103">
        <v>101</v>
      </c>
      <c r="AJ103">
        <v>45</v>
      </c>
      <c r="AK103">
        <v>123</v>
      </c>
      <c r="AL103">
        <v>40</v>
      </c>
      <c r="AM103">
        <v>60</v>
      </c>
      <c r="AN103">
        <v>36</v>
      </c>
      <c r="AO103">
        <v>76</v>
      </c>
      <c r="AP103">
        <v>44</v>
      </c>
      <c r="AQ103">
        <v>89</v>
      </c>
      <c r="AR103">
        <v>50</v>
      </c>
      <c r="AS103">
        <v>82</v>
      </c>
      <c r="AT103">
        <v>58</v>
      </c>
      <c r="AU103">
        <v>73</v>
      </c>
      <c r="AV103">
        <v>48</v>
      </c>
      <c r="AW103">
        <v>108</v>
      </c>
      <c r="AX103">
        <v>83</v>
      </c>
      <c r="AY103">
        <v>98</v>
      </c>
      <c r="AZ103">
        <v>2</v>
      </c>
      <c r="BA103">
        <v>60</v>
      </c>
      <c r="BB103">
        <v>72</v>
      </c>
      <c r="BC103">
        <v>100</v>
      </c>
      <c r="BD103">
        <v>98</v>
      </c>
      <c r="BE103">
        <v>102</v>
      </c>
      <c r="BF103">
        <v>81</v>
      </c>
      <c r="BG103">
        <v>67</v>
      </c>
      <c r="BH103">
        <v>144</v>
      </c>
      <c r="BI103">
        <v>75</v>
      </c>
      <c r="BJ103">
        <v>68</v>
      </c>
      <c r="BK103">
        <v>113</v>
      </c>
      <c r="BL103">
        <v>30</v>
      </c>
      <c r="BM103">
        <v>11</v>
      </c>
      <c r="BN103">
        <v>52</v>
      </c>
      <c r="BO103">
        <v>60</v>
      </c>
      <c r="BP103">
        <v>108</v>
      </c>
      <c r="BQ103">
        <v>64</v>
      </c>
      <c r="BR103">
        <v>4</v>
      </c>
      <c r="BS103">
        <v>60</v>
      </c>
      <c r="BU103" s="1">
        <f>AVERAGE(Table9[[#This Row],[1-Jan-21]:[1-Dec-25]])</f>
        <v>89.533333333333331</v>
      </c>
    </row>
    <row r="104" spans="1:73" x14ac:dyDescent="0.55000000000000004">
      <c r="A104">
        <v>103</v>
      </c>
      <c r="B104" t="s">
        <v>71</v>
      </c>
      <c r="C104" t="s">
        <v>72</v>
      </c>
      <c r="D104" t="s">
        <v>73</v>
      </c>
      <c r="E104" t="s">
        <v>87</v>
      </c>
      <c r="F104">
        <v>107639</v>
      </c>
      <c r="G104" t="s">
        <v>217</v>
      </c>
      <c r="H104" t="s">
        <v>76</v>
      </c>
      <c r="I104" t="s">
        <v>80</v>
      </c>
      <c r="J104">
        <v>9.26</v>
      </c>
      <c r="K104">
        <v>20</v>
      </c>
      <c r="L104">
        <v>40</v>
      </c>
      <c r="M104">
        <v>129</v>
      </c>
      <c r="N104">
        <v>50</v>
      </c>
      <c r="O104">
        <v>130</v>
      </c>
      <c r="P104">
        <v>60</v>
      </c>
      <c r="Q104">
        <v>0</v>
      </c>
      <c r="R104">
        <v>160</v>
      </c>
      <c r="S104">
        <v>154</v>
      </c>
      <c r="T104">
        <v>244</v>
      </c>
      <c r="U104">
        <v>125</v>
      </c>
      <c r="V104">
        <v>30</v>
      </c>
      <c r="W104">
        <v>254</v>
      </c>
      <c r="X104">
        <v>30</v>
      </c>
      <c r="Y104">
        <v>20</v>
      </c>
      <c r="Z104">
        <v>120</v>
      </c>
      <c r="AA104">
        <v>70</v>
      </c>
      <c r="AB104">
        <v>106</v>
      </c>
      <c r="AC104">
        <v>0</v>
      </c>
      <c r="AD104">
        <v>80</v>
      </c>
      <c r="AE104">
        <v>0</v>
      </c>
      <c r="AF104">
        <v>0</v>
      </c>
      <c r="AG104">
        <v>25</v>
      </c>
      <c r="AH104">
        <v>28</v>
      </c>
      <c r="AI104">
        <v>30</v>
      </c>
      <c r="AJ104">
        <v>52</v>
      </c>
      <c r="AK104">
        <v>31</v>
      </c>
      <c r="AL104">
        <v>40</v>
      </c>
      <c r="AM104">
        <v>108</v>
      </c>
      <c r="AN104">
        <v>20</v>
      </c>
      <c r="AO104">
        <v>7</v>
      </c>
      <c r="AP104">
        <v>15</v>
      </c>
      <c r="AQ104">
        <v>10</v>
      </c>
      <c r="AR104">
        <v>69</v>
      </c>
      <c r="AS104">
        <v>22</v>
      </c>
      <c r="AT104">
        <v>58</v>
      </c>
      <c r="AU104">
        <v>94</v>
      </c>
      <c r="AV104">
        <v>55</v>
      </c>
      <c r="AW104">
        <v>39</v>
      </c>
      <c r="AX104">
        <v>160</v>
      </c>
      <c r="AY104">
        <v>70</v>
      </c>
      <c r="AZ104">
        <v>130</v>
      </c>
      <c r="BA104">
        <v>80</v>
      </c>
      <c r="BB104">
        <v>0</v>
      </c>
      <c r="BC104">
        <v>26</v>
      </c>
      <c r="BD104">
        <v>20</v>
      </c>
      <c r="BE104">
        <v>76</v>
      </c>
      <c r="BF104">
        <v>80</v>
      </c>
      <c r="BG104">
        <v>34</v>
      </c>
      <c r="BH104">
        <v>56</v>
      </c>
      <c r="BI104">
        <v>0</v>
      </c>
      <c r="BJ104">
        <v>80</v>
      </c>
      <c r="BK104">
        <v>50</v>
      </c>
      <c r="BL104">
        <v>0</v>
      </c>
      <c r="BM104">
        <v>70</v>
      </c>
      <c r="BN104">
        <v>111</v>
      </c>
      <c r="BO104">
        <v>70</v>
      </c>
      <c r="BP104">
        <v>75</v>
      </c>
      <c r="BQ104">
        <v>99</v>
      </c>
      <c r="BR104">
        <v>69</v>
      </c>
      <c r="BS104">
        <v>53</v>
      </c>
      <c r="BU104" s="1">
        <f>AVERAGE(Table9[[#This Row],[1-Jan-21]:[1-Dec-25]])</f>
        <v>64.683333333333337</v>
      </c>
    </row>
    <row r="105" spans="1:73" x14ac:dyDescent="0.55000000000000004">
      <c r="A105">
        <v>104</v>
      </c>
      <c r="B105" t="s">
        <v>71</v>
      </c>
      <c r="C105" t="s">
        <v>72</v>
      </c>
      <c r="D105" t="s">
        <v>73</v>
      </c>
      <c r="E105" t="s">
        <v>145</v>
      </c>
      <c r="F105">
        <v>110066</v>
      </c>
      <c r="G105" t="s">
        <v>218</v>
      </c>
      <c r="H105" t="s">
        <v>76</v>
      </c>
      <c r="I105" t="s">
        <v>80</v>
      </c>
      <c r="J105">
        <v>37.15</v>
      </c>
      <c r="K105">
        <v>29</v>
      </c>
      <c r="L105">
        <v>92</v>
      </c>
      <c r="M105">
        <v>11</v>
      </c>
      <c r="N105">
        <v>65</v>
      </c>
      <c r="O105">
        <v>33</v>
      </c>
      <c r="P105">
        <v>49</v>
      </c>
      <c r="Q105">
        <v>63</v>
      </c>
      <c r="R105">
        <v>5</v>
      </c>
      <c r="S105">
        <v>43</v>
      </c>
      <c r="T105">
        <v>38</v>
      </c>
      <c r="U105">
        <v>83</v>
      </c>
      <c r="V105">
        <v>50</v>
      </c>
      <c r="W105">
        <v>42</v>
      </c>
      <c r="X105">
        <v>38</v>
      </c>
      <c r="Y105">
        <v>22</v>
      </c>
      <c r="Z105">
        <v>118</v>
      </c>
      <c r="AA105">
        <v>38</v>
      </c>
      <c r="AB105">
        <v>85</v>
      </c>
      <c r="AC105">
        <v>20</v>
      </c>
      <c r="AD105">
        <v>18</v>
      </c>
      <c r="AE105">
        <v>12</v>
      </c>
      <c r="AF105">
        <v>40</v>
      </c>
      <c r="AG105">
        <v>63</v>
      </c>
      <c r="AH105">
        <v>8</v>
      </c>
      <c r="AI105">
        <v>60</v>
      </c>
      <c r="AJ105">
        <v>4</v>
      </c>
      <c r="AK105">
        <v>21</v>
      </c>
      <c r="AL105">
        <v>27</v>
      </c>
      <c r="AM105">
        <v>37</v>
      </c>
      <c r="AN105">
        <v>16</v>
      </c>
      <c r="AO105">
        <v>33</v>
      </c>
      <c r="AP105">
        <v>34</v>
      </c>
      <c r="AQ105">
        <v>11</v>
      </c>
      <c r="AR105">
        <v>2</v>
      </c>
      <c r="AS105">
        <v>8</v>
      </c>
      <c r="AT105">
        <v>23</v>
      </c>
      <c r="AU105">
        <v>11</v>
      </c>
      <c r="AV105">
        <v>6</v>
      </c>
      <c r="AW105">
        <v>12</v>
      </c>
      <c r="AX105">
        <v>4</v>
      </c>
      <c r="AY105">
        <v>32</v>
      </c>
      <c r="AZ105">
        <v>22</v>
      </c>
      <c r="BA105">
        <v>3</v>
      </c>
      <c r="BB105">
        <v>0</v>
      </c>
      <c r="BC105">
        <v>31</v>
      </c>
      <c r="BD105">
        <v>26</v>
      </c>
      <c r="BE105">
        <v>37</v>
      </c>
      <c r="BF105">
        <v>16</v>
      </c>
      <c r="BG105">
        <v>7</v>
      </c>
      <c r="BH105">
        <v>14</v>
      </c>
      <c r="BI105">
        <v>34</v>
      </c>
      <c r="BJ105">
        <v>7</v>
      </c>
      <c r="BK105">
        <v>3</v>
      </c>
      <c r="BL105">
        <v>11</v>
      </c>
      <c r="BM105">
        <v>13</v>
      </c>
      <c r="BN105">
        <v>27</v>
      </c>
      <c r="BO105">
        <v>21</v>
      </c>
      <c r="BP105">
        <v>9</v>
      </c>
      <c r="BQ105">
        <v>44</v>
      </c>
      <c r="BR105">
        <v>5</v>
      </c>
      <c r="BS105">
        <v>59</v>
      </c>
      <c r="BU105" s="1">
        <f>AVERAGE(Table9[[#This Row],[1-Jan-21]:[1-Dec-25]])</f>
        <v>28.933333333333334</v>
      </c>
    </row>
    <row r="106" spans="1:73" x14ac:dyDescent="0.55000000000000004">
      <c r="A106">
        <v>105</v>
      </c>
      <c r="B106" t="s">
        <v>71</v>
      </c>
      <c r="C106" t="s">
        <v>72</v>
      </c>
      <c r="D106" t="s">
        <v>73</v>
      </c>
      <c r="E106" t="s">
        <v>145</v>
      </c>
      <c r="F106">
        <v>110063</v>
      </c>
      <c r="G106" t="s">
        <v>219</v>
      </c>
      <c r="H106" t="s">
        <v>76</v>
      </c>
      <c r="I106" t="s">
        <v>80</v>
      </c>
      <c r="J106">
        <v>45</v>
      </c>
      <c r="K106">
        <v>51</v>
      </c>
      <c r="L106">
        <v>146</v>
      </c>
      <c r="M106">
        <v>44</v>
      </c>
      <c r="N106">
        <v>127</v>
      </c>
      <c r="O106">
        <v>66</v>
      </c>
      <c r="P106">
        <v>99</v>
      </c>
      <c r="Q106">
        <v>90</v>
      </c>
      <c r="R106">
        <v>65</v>
      </c>
      <c r="S106">
        <v>121</v>
      </c>
      <c r="T106">
        <v>149</v>
      </c>
      <c r="U106">
        <v>99</v>
      </c>
      <c r="V106">
        <v>123</v>
      </c>
      <c r="W106">
        <v>175</v>
      </c>
      <c r="X106">
        <v>95</v>
      </c>
      <c r="Y106">
        <v>135</v>
      </c>
      <c r="Z106">
        <v>126</v>
      </c>
      <c r="AA106">
        <v>97</v>
      </c>
      <c r="AB106">
        <v>100</v>
      </c>
      <c r="AC106">
        <v>66</v>
      </c>
      <c r="AD106">
        <v>59</v>
      </c>
      <c r="AE106">
        <v>67</v>
      </c>
      <c r="AF106">
        <v>58</v>
      </c>
      <c r="AG106">
        <v>61</v>
      </c>
      <c r="AH106">
        <v>72</v>
      </c>
      <c r="AI106">
        <v>127</v>
      </c>
      <c r="AJ106">
        <v>32</v>
      </c>
      <c r="AK106">
        <v>79</v>
      </c>
      <c r="AL106">
        <v>28</v>
      </c>
      <c r="AM106">
        <v>75</v>
      </c>
      <c r="AN106">
        <v>64</v>
      </c>
      <c r="AO106">
        <v>105</v>
      </c>
      <c r="AP106">
        <v>47</v>
      </c>
      <c r="AQ106">
        <v>46</v>
      </c>
      <c r="AR106">
        <v>62</v>
      </c>
      <c r="AS106">
        <v>52</v>
      </c>
      <c r="AT106">
        <v>48</v>
      </c>
      <c r="AU106">
        <v>44</v>
      </c>
      <c r="AV106">
        <v>58</v>
      </c>
      <c r="AW106">
        <v>42</v>
      </c>
      <c r="AX106">
        <v>21</v>
      </c>
      <c r="AY106">
        <v>88</v>
      </c>
      <c r="AZ106">
        <v>32</v>
      </c>
      <c r="BA106">
        <v>45</v>
      </c>
      <c r="BB106">
        <v>39</v>
      </c>
      <c r="BC106">
        <v>90</v>
      </c>
      <c r="BD106">
        <v>67</v>
      </c>
      <c r="BE106">
        <v>79</v>
      </c>
      <c r="BF106">
        <v>62</v>
      </c>
      <c r="BG106">
        <v>76</v>
      </c>
      <c r="BH106">
        <v>88</v>
      </c>
      <c r="BI106">
        <v>44</v>
      </c>
      <c r="BJ106">
        <v>49</v>
      </c>
      <c r="BK106">
        <v>66</v>
      </c>
      <c r="BL106">
        <v>70</v>
      </c>
      <c r="BM106">
        <v>45</v>
      </c>
      <c r="BN106">
        <v>91</v>
      </c>
      <c r="BO106">
        <v>60</v>
      </c>
      <c r="BP106">
        <v>35</v>
      </c>
      <c r="BQ106">
        <v>34</v>
      </c>
      <c r="BR106">
        <v>37</v>
      </c>
      <c r="BS106">
        <v>60</v>
      </c>
      <c r="BU106" s="1">
        <f>AVERAGE(Table9[[#This Row],[1-Jan-21]:[1-Dec-25]])</f>
        <v>73.63333333333334</v>
      </c>
    </row>
    <row r="107" spans="1:73" x14ac:dyDescent="0.55000000000000004">
      <c r="A107">
        <v>106</v>
      </c>
      <c r="B107" t="s">
        <v>71</v>
      </c>
      <c r="C107" t="s">
        <v>72</v>
      </c>
      <c r="D107" t="s">
        <v>73</v>
      </c>
      <c r="E107" t="s">
        <v>145</v>
      </c>
      <c r="F107">
        <v>110054</v>
      </c>
      <c r="G107" t="s">
        <v>220</v>
      </c>
      <c r="H107" t="s">
        <v>76</v>
      </c>
      <c r="I107" t="s">
        <v>80</v>
      </c>
      <c r="J107">
        <v>36.57</v>
      </c>
      <c r="K107">
        <v>44</v>
      </c>
      <c r="L107">
        <v>26</v>
      </c>
      <c r="M107">
        <v>35</v>
      </c>
      <c r="N107">
        <v>14</v>
      </c>
      <c r="O107">
        <v>54</v>
      </c>
      <c r="P107">
        <v>25</v>
      </c>
      <c r="Q107">
        <v>20</v>
      </c>
      <c r="R107">
        <v>29</v>
      </c>
      <c r="S107">
        <v>63</v>
      </c>
      <c r="T107">
        <v>26</v>
      </c>
      <c r="U107">
        <v>48</v>
      </c>
      <c r="V107">
        <v>6</v>
      </c>
      <c r="W107">
        <v>20</v>
      </c>
      <c r="X107">
        <v>7</v>
      </c>
      <c r="Y107">
        <v>6</v>
      </c>
      <c r="Z107">
        <v>83</v>
      </c>
      <c r="AA107">
        <v>34</v>
      </c>
      <c r="AB107">
        <v>10</v>
      </c>
      <c r="AC107">
        <v>5</v>
      </c>
      <c r="AD107">
        <v>26</v>
      </c>
      <c r="AE107">
        <v>29</v>
      </c>
      <c r="AF107">
        <v>38</v>
      </c>
      <c r="AG107">
        <v>108</v>
      </c>
      <c r="AH107">
        <v>19</v>
      </c>
      <c r="AI107">
        <v>19</v>
      </c>
      <c r="AJ107">
        <v>44</v>
      </c>
      <c r="AK107">
        <v>7</v>
      </c>
      <c r="AL107">
        <v>18</v>
      </c>
      <c r="AM107">
        <v>9</v>
      </c>
      <c r="AN107">
        <v>6</v>
      </c>
      <c r="AO107">
        <v>79</v>
      </c>
      <c r="AP107">
        <v>0</v>
      </c>
      <c r="AQ107">
        <v>1</v>
      </c>
      <c r="AR107">
        <v>33</v>
      </c>
      <c r="AS107">
        <v>21</v>
      </c>
      <c r="AT107">
        <v>5</v>
      </c>
      <c r="AU107">
        <v>42</v>
      </c>
      <c r="AV107">
        <v>10</v>
      </c>
      <c r="AW107">
        <v>19</v>
      </c>
      <c r="AX107">
        <v>1</v>
      </c>
      <c r="AY107">
        <v>0</v>
      </c>
      <c r="AZ107">
        <v>31</v>
      </c>
      <c r="BA107">
        <v>59</v>
      </c>
      <c r="BB107">
        <v>5</v>
      </c>
      <c r="BC107">
        <v>24</v>
      </c>
      <c r="BD107">
        <v>35</v>
      </c>
      <c r="BE107">
        <v>9</v>
      </c>
      <c r="BF107">
        <v>16</v>
      </c>
      <c r="BG107">
        <v>6</v>
      </c>
      <c r="BH107">
        <v>30</v>
      </c>
      <c r="BI107">
        <v>42</v>
      </c>
      <c r="BJ107">
        <v>53</v>
      </c>
      <c r="BK107">
        <v>56</v>
      </c>
      <c r="BL107">
        <v>7</v>
      </c>
      <c r="BM107">
        <v>38</v>
      </c>
      <c r="BN107">
        <v>37</v>
      </c>
      <c r="BO107">
        <v>77</v>
      </c>
      <c r="BP107">
        <v>23</v>
      </c>
      <c r="BQ107">
        <v>11</v>
      </c>
      <c r="BR107">
        <v>8</v>
      </c>
      <c r="BS107">
        <v>58</v>
      </c>
      <c r="BU107" s="1">
        <f>AVERAGE(Table9[[#This Row],[1-Jan-21]:[1-Dec-25]])</f>
        <v>27.6</v>
      </c>
    </row>
    <row r="108" spans="1:73" x14ac:dyDescent="0.55000000000000004">
      <c r="A108">
        <v>107</v>
      </c>
      <c r="B108" t="s">
        <v>71</v>
      </c>
      <c r="C108" t="s">
        <v>72</v>
      </c>
      <c r="D108" t="s">
        <v>221</v>
      </c>
      <c r="E108" t="s">
        <v>222</v>
      </c>
      <c r="F108">
        <v>110712</v>
      </c>
      <c r="G108" t="s">
        <v>223</v>
      </c>
      <c r="H108" t="s">
        <v>76</v>
      </c>
      <c r="I108" t="s">
        <v>80</v>
      </c>
      <c r="J108">
        <v>4631.57</v>
      </c>
      <c r="K108">
        <v>4</v>
      </c>
      <c r="L108">
        <v>7</v>
      </c>
      <c r="M108">
        <v>7</v>
      </c>
      <c r="N108">
        <v>7</v>
      </c>
      <c r="O108">
        <v>8</v>
      </c>
      <c r="P108">
        <v>4</v>
      </c>
      <c r="Q108">
        <v>5</v>
      </c>
      <c r="R108">
        <v>7</v>
      </c>
      <c r="S108">
        <v>5</v>
      </c>
      <c r="T108">
        <v>10</v>
      </c>
      <c r="U108">
        <v>2</v>
      </c>
      <c r="V108">
        <v>8</v>
      </c>
      <c r="W108">
        <v>8</v>
      </c>
      <c r="X108">
        <v>8</v>
      </c>
      <c r="Y108">
        <v>4</v>
      </c>
      <c r="Z108">
        <v>8</v>
      </c>
      <c r="AA108">
        <v>8</v>
      </c>
      <c r="AB108">
        <v>5</v>
      </c>
      <c r="AC108">
        <v>0</v>
      </c>
      <c r="AD108">
        <v>0</v>
      </c>
      <c r="AE108">
        <v>5</v>
      </c>
      <c r="AF108">
        <v>2</v>
      </c>
      <c r="AG108">
        <v>6</v>
      </c>
      <c r="AH108">
        <v>7</v>
      </c>
      <c r="AI108">
        <v>12</v>
      </c>
      <c r="AJ108">
        <v>2</v>
      </c>
      <c r="AK108">
        <v>0</v>
      </c>
      <c r="AL108">
        <v>7</v>
      </c>
      <c r="AM108">
        <v>0</v>
      </c>
      <c r="AN108">
        <v>7</v>
      </c>
      <c r="AO108">
        <v>2</v>
      </c>
      <c r="AP108">
        <v>7</v>
      </c>
      <c r="AQ108">
        <v>5</v>
      </c>
      <c r="AR108">
        <v>3</v>
      </c>
      <c r="AS108">
        <v>5</v>
      </c>
      <c r="AT108">
        <v>8</v>
      </c>
      <c r="AU108">
        <v>11</v>
      </c>
      <c r="AV108">
        <v>12</v>
      </c>
      <c r="AW108">
        <v>14</v>
      </c>
      <c r="AX108">
        <v>6</v>
      </c>
      <c r="AY108">
        <v>14</v>
      </c>
      <c r="AZ108">
        <v>16</v>
      </c>
      <c r="BA108">
        <v>15</v>
      </c>
      <c r="BB108">
        <v>9</v>
      </c>
      <c r="BC108">
        <v>8</v>
      </c>
      <c r="BD108">
        <v>18</v>
      </c>
      <c r="BE108">
        <v>20</v>
      </c>
      <c r="BF108">
        <v>22</v>
      </c>
      <c r="BG108">
        <v>24</v>
      </c>
      <c r="BH108">
        <v>10</v>
      </c>
      <c r="BI108">
        <v>17</v>
      </c>
      <c r="BJ108">
        <v>16</v>
      </c>
      <c r="BK108">
        <v>22</v>
      </c>
      <c r="BL108">
        <v>1</v>
      </c>
      <c r="BM108">
        <v>8</v>
      </c>
      <c r="BN108">
        <v>14</v>
      </c>
      <c r="BO108">
        <v>0</v>
      </c>
      <c r="BP108">
        <v>0</v>
      </c>
      <c r="BQ108">
        <v>0</v>
      </c>
      <c r="BR108">
        <v>0</v>
      </c>
      <c r="BS108">
        <v>52</v>
      </c>
      <c r="BU108" s="1">
        <f>AVERAGE(Table9[[#This Row],[1-Jan-21]:[1-Dec-25]])</f>
        <v>7.833333333333333</v>
      </c>
    </row>
    <row r="109" spans="1:73" x14ac:dyDescent="0.55000000000000004">
      <c r="A109">
        <v>108</v>
      </c>
      <c r="B109" t="s">
        <v>71</v>
      </c>
      <c r="C109" t="s">
        <v>72</v>
      </c>
      <c r="D109" t="s">
        <v>73</v>
      </c>
      <c r="E109" t="s">
        <v>163</v>
      </c>
      <c r="F109">
        <v>109215</v>
      </c>
      <c r="G109" t="s">
        <v>224</v>
      </c>
      <c r="H109" t="s">
        <v>76</v>
      </c>
      <c r="I109" t="s">
        <v>80</v>
      </c>
      <c r="J109">
        <v>4.04</v>
      </c>
      <c r="K109">
        <v>25</v>
      </c>
      <c r="L109">
        <v>70</v>
      </c>
      <c r="M109">
        <v>20</v>
      </c>
      <c r="N109">
        <v>50</v>
      </c>
      <c r="O109">
        <v>49</v>
      </c>
      <c r="P109">
        <v>40</v>
      </c>
      <c r="Q109">
        <v>0</v>
      </c>
      <c r="R109">
        <v>0</v>
      </c>
      <c r="S109">
        <v>0</v>
      </c>
      <c r="T109">
        <v>50</v>
      </c>
      <c r="U109">
        <v>35</v>
      </c>
      <c r="V109">
        <v>8</v>
      </c>
      <c r="W109">
        <v>70</v>
      </c>
      <c r="X109">
        <v>0</v>
      </c>
      <c r="Y109">
        <v>0</v>
      </c>
      <c r="Z109">
        <v>66</v>
      </c>
      <c r="AA109">
        <v>55</v>
      </c>
      <c r="AB109">
        <v>25</v>
      </c>
      <c r="AC109">
        <v>30</v>
      </c>
      <c r="AD109">
        <v>0</v>
      </c>
      <c r="AE109">
        <v>0</v>
      </c>
      <c r="AF109">
        <v>1</v>
      </c>
      <c r="AG109">
        <v>86</v>
      </c>
      <c r="AH109">
        <v>0</v>
      </c>
      <c r="AI109">
        <v>55</v>
      </c>
      <c r="AJ109">
        <v>82</v>
      </c>
      <c r="AK109">
        <v>13</v>
      </c>
      <c r="AL109">
        <v>26</v>
      </c>
      <c r="AM109">
        <v>85</v>
      </c>
      <c r="AN109">
        <v>0</v>
      </c>
      <c r="AO109">
        <v>10</v>
      </c>
      <c r="AP109">
        <v>30</v>
      </c>
      <c r="AQ109">
        <v>0</v>
      </c>
      <c r="AR109">
        <v>0</v>
      </c>
      <c r="AS109">
        <v>45</v>
      </c>
      <c r="AT109">
        <v>49</v>
      </c>
      <c r="AU109">
        <v>74</v>
      </c>
      <c r="AV109">
        <v>89</v>
      </c>
      <c r="AW109">
        <v>20</v>
      </c>
      <c r="AX109">
        <v>79</v>
      </c>
      <c r="AY109">
        <v>85</v>
      </c>
      <c r="AZ109">
        <v>32</v>
      </c>
      <c r="BA109">
        <v>12</v>
      </c>
      <c r="BB109">
        <v>150</v>
      </c>
      <c r="BC109">
        <v>0</v>
      </c>
      <c r="BD109">
        <v>50</v>
      </c>
      <c r="BE109">
        <v>160</v>
      </c>
      <c r="BF109">
        <v>30</v>
      </c>
      <c r="BG109">
        <v>16</v>
      </c>
      <c r="BH109">
        <v>4</v>
      </c>
      <c r="BI109">
        <v>42</v>
      </c>
      <c r="BJ109">
        <v>10</v>
      </c>
      <c r="BK109">
        <v>0</v>
      </c>
      <c r="BL109">
        <v>50</v>
      </c>
      <c r="BM109">
        <v>20</v>
      </c>
      <c r="BN109">
        <v>15</v>
      </c>
      <c r="BO109">
        <v>0</v>
      </c>
      <c r="BP109">
        <v>32</v>
      </c>
      <c r="BQ109">
        <v>0</v>
      </c>
      <c r="BR109">
        <v>60</v>
      </c>
      <c r="BS109">
        <v>45</v>
      </c>
      <c r="BU109" s="1">
        <f>AVERAGE(Table9[[#This Row],[1-Jan-21]:[1-Dec-25]])</f>
        <v>35.083333333333336</v>
      </c>
    </row>
    <row r="110" spans="1:73" x14ac:dyDescent="0.55000000000000004">
      <c r="A110">
        <v>109</v>
      </c>
      <c r="B110" t="s">
        <v>71</v>
      </c>
      <c r="C110" t="s">
        <v>72</v>
      </c>
      <c r="D110" t="s">
        <v>73</v>
      </c>
      <c r="E110" t="s">
        <v>163</v>
      </c>
      <c r="F110">
        <v>109178</v>
      </c>
      <c r="G110" t="s">
        <v>225</v>
      </c>
      <c r="H110" t="s">
        <v>76</v>
      </c>
      <c r="I110" t="s">
        <v>80</v>
      </c>
      <c r="J110">
        <v>3.47</v>
      </c>
      <c r="K110">
        <v>5</v>
      </c>
      <c r="L110">
        <v>100</v>
      </c>
      <c r="M110">
        <v>30</v>
      </c>
      <c r="N110">
        <v>0</v>
      </c>
      <c r="O110">
        <v>25</v>
      </c>
      <c r="P110">
        <v>85</v>
      </c>
      <c r="Q110">
        <v>20</v>
      </c>
      <c r="R110">
        <v>40</v>
      </c>
      <c r="S110">
        <v>0</v>
      </c>
      <c r="T110">
        <v>75</v>
      </c>
      <c r="U110">
        <v>10</v>
      </c>
      <c r="V110">
        <v>100</v>
      </c>
      <c r="W110">
        <v>40</v>
      </c>
      <c r="X110">
        <v>15</v>
      </c>
      <c r="Y110">
        <v>50</v>
      </c>
      <c r="Z110">
        <v>39</v>
      </c>
      <c r="AA110">
        <v>60</v>
      </c>
      <c r="AB110">
        <v>60</v>
      </c>
      <c r="AC110">
        <v>0</v>
      </c>
      <c r="AD110">
        <v>0</v>
      </c>
      <c r="AE110">
        <v>20</v>
      </c>
      <c r="AF110">
        <v>36</v>
      </c>
      <c r="AG110">
        <v>15</v>
      </c>
      <c r="AH110">
        <v>30</v>
      </c>
      <c r="AI110">
        <v>10</v>
      </c>
      <c r="AJ110">
        <v>90</v>
      </c>
      <c r="AK110">
        <v>40</v>
      </c>
      <c r="AL110">
        <v>30</v>
      </c>
      <c r="AM110">
        <v>100</v>
      </c>
      <c r="AN110">
        <v>0</v>
      </c>
      <c r="AO110">
        <v>0</v>
      </c>
      <c r="AP110">
        <v>0</v>
      </c>
      <c r="AQ110">
        <v>0</v>
      </c>
      <c r="AR110">
        <v>28</v>
      </c>
      <c r="AS110">
        <v>150</v>
      </c>
      <c r="AT110">
        <v>50</v>
      </c>
      <c r="AU110">
        <v>40</v>
      </c>
      <c r="AV110">
        <v>70</v>
      </c>
      <c r="AW110">
        <v>19</v>
      </c>
      <c r="AX110">
        <v>75</v>
      </c>
      <c r="AY110">
        <v>135</v>
      </c>
      <c r="AZ110">
        <v>10</v>
      </c>
      <c r="BA110">
        <v>15</v>
      </c>
      <c r="BB110">
        <v>35</v>
      </c>
      <c r="BC110">
        <v>0</v>
      </c>
      <c r="BD110">
        <v>56</v>
      </c>
      <c r="BE110">
        <v>40</v>
      </c>
      <c r="BF110">
        <v>56</v>
      </c>
      <c r="BG110">
        <v>20</v>
      </c>
      <c r="BH110">
        <v>30</v>
      </c>
      <c r="BI110">
        <v>10</v>
      </c>
      <c r="BJ110">
        <v>70</v>
      </c>
      <c r="BK110">
        <v>0</v>
      </c>
      <c r="BL110">
        <v>20</v>
      </c>
      <c r="BM110">
        <v>29</v>
      </c>
      <c r="BN110">
        <v>40</v>
      </c>
      <c r="BO110">
        <v>46</v>
      </c>
      <c r="BP110">
        <v>24</v>
      </c>
      <c r="BQ110">
        <v>10</v>
      </c>
      <c r="BR110">
        <v>78</v>
      </c>
      <c r="BS110">
        <v>50</v>
      </c>
      <c r="BU110" s="1">
        <f>AVERAGE(Table9[[#This Row],[1-Jan-21]:[1-Dec-25]])</f>
        <v>38.016666666666666</v>
      </c>
    </row>
    <row r="111" spans="1:73" x14ac:dyDescent="0.55000000000000004">
      <c r="A111">
        <v>110</v>
      </c>
      <c r="B111" t="s">
        <v>71</v>
      </c>
      <c r="C111" t="s">
        <v>72</v>
      </c>
      <c r="D111" t="s">
        <v>73</v>
      </c>
      <c r="E111" t="s">
        <v>170</v>
      </c>
      <c r="F111">
        <v>110440</v>
      </c>
      <c r="G111" t="s">
        <v>226</v>
      </c>
      <c r="H111" t="s">
        <v>76</v>
      </c>
      <c r="I111" t="s">
        <v>105</v>
      </c>
      <c r="J111">
        <v>31.88</v>
      </c>
      <c r="K111">
        <v>128</v>
      </c>
      <c r="L111">
        <v>135</v>
      </c>
      <c r="M111">
        <v>0</v>
      </c>
      <c r="N111">
        <v>81</v>
      </c>
      <c r="O111">
        <v>51.5</v>
      </c>
      <c r="P111">
        <v>310</v>
      </c>
      <c r="Q111">
        <v>130</v>
      </c>
      <c r="R111">
        <v>160</v>
      </c>
      <c r="S111">
        <v>50</v>
      </c>
      <c r="T111">
        <v>378</v>
      </c>
      <c r="U111">
        <v>400</v>
      </c>
      <c r="V111">
        <v>70</v>
      </c>
      <c r="W111">
        <v>30</v>
      </c>
      <c r="X111">
        <v>186</v>
      </c>
      <c r="Y111">
        <v>62</v>
      </c>
      <c r="Z111">
        <v>50</v>
      </c>
      <c r="AA111">
        <v>385</v>
      </c>
      <c r="AB111">
        <v>150</v>
      </c>
      <c r="AC111">
        <v>80</v>
      </c>
      <c r="AD111">
        <v>450</v>
      </c>
      <c r="AE111">
        <v>184</v>
      </c>
      <c r="AF111">
        <v>170</v>
      </c>
      <c r="AG111">
        <v>378.5</v>
      </c>
      <c r="AH111">
        <v>140</v>
      </c>
      <c r="AI111">
        <v>342</v>
      </c>
      <c r="AJ111">
        <v>10</v>
      </c>
      <c r="AK111">
        <v>275</v>
      </c>
      <c r="AL111">
        <v>272</v>
      </c>
      <c r="AM111">
        <v>15</v>
      </c>
      <c r="AN111">
        <v>125</v>
      </c>
      <c r="AO111">
        <v>426</v>
      </c>
      <c r="AP111">
        <v>363</v>
      </c>
      <c r="AQ111">
        <v>125</v>
      </c>
      <c r="AR111">
        <v>180</v>
      </c>
      <c r="AS111">
        <v>445</v>
      </c>
      <c r="AT111">
        <v>85</v>
      </c>
      <c r="AU111">
        <v>188</v>
      </c>
      <c r="AV111">
        <v>162</v>
      </c>
      <c r="AW111">
        <v>330</v>
      </c>
      <c r="AX111">
        <v>517</v>
      </c>
      <c r="AY111">
        <v>365</v>
      </c>
      <c r="AZ111">
        <v>348</v>
      </c>
      <c r="BA111">
        <v>655</v>
      </c>
      <c r="BB111">
        <v>425</v>
      </c>
      <c r="BC111">
        <v>126</v>
      </c>
      <c r="BD111">
        <v>196</v>
      </c>
      <c r="BE111">
        <v>302</v>
      </c>
      <c r="BF111">
        <v>190</v>
      </c>
      <c r="BG111">
        <v>190</v>
      </c>
      <c r="BH111">
        <v>280</v>
      </c>
      <c r="BI111">
        <v>150</v>
      </c>
      <c r="BJ111">
        <v>265</v>
      </c>
      <c r="BK111">
        <v>157</v>
      </c>
      <c r="BL111">
        <v>50</v>
      </c>
      <c r="BM111">
        <v>284</v>
      </c>
      <c r="BN111">
        <v>160</v>
      </c>
      <c r="BO111">
        <v>569</v>
      </c>
      <c r="BP111">
        <v>120</v>
      </c>
      <c r="BQ111">
        <v>468</v>
      </c>
      <c r="BR111">
        <v>250</v>
      </c>
      <c r="BS111">
        <v>59</v>
      </c>
      <c r="BU111" s="1">
        <f>AVERAGE(Table9[[#This Row],[1-Jan-21]:[1-Dec-25]])</f>
        <v>226.15</v>
      </c>
    </row>
    <row r="112" spans="1:73" x14ac:dyDescent="0.55000000000000004">
      <c r="A112">
        <v>111</v>
      </c>
      <c r="B112" t="s">
        <v>71</v>
      </c>
      <c r="C112" t="s">
        <v>72</v>
      </c>
      <c r="D112" t="s">
        <v>73</v>
      </c>
      <c r="E112" t="s">
        <v>87</v>
      </c>
      <c r="F112">
        <v>107657</v>
      </c>
      <c r="G112" t="s">
        <v>227</v>
      </c>
      <c r="H112" t="s">
        <v>76</v>
      </c>
      <c r="I112" t="s">
        <v>80</v>
      </c>
      <c r="J112">
        <v>23.15</v>
      </c>
      <c r="K112">
        <v>169</v>
      </c>
      <c r="L112">
        <v>206</v>
      </c>
      <c r="M112">
        <v>299</v>
      </c>
      <c r="N112">
        <v>166</v>
      </c>
      <c r="O112">
        <v>116</v>
      </c>
      <c r="P112">
        <v>252</v>
      </c>
      <c r="Q112">
        <v>179</v>
      </c>
      <c r="R112">
        <v>362</v>
      </c>
      <c r="S112">
        <v>428</v>
      </c>
      <c r="T112">
        <v>212</v>
      </c>
      <c r="U112">
        <v>199</v>
      </c>
      <c r="V112">
        <v>249</v>
      </c>
      <c r="W112">
        <v>210</v>
      </c>
      <c r="X112">
        <v>247</v>
      </c>
      <c r="Y112">
        <v>102</v>
      </c>
      <c r="Z112">
        <v>298</v>
      </c>
      <c r="AA112">
        <v>158</v>
      </c>
      <c r="AB112">
        <v>46</v>
      </c>
      <c r="AC112">
        <v>53</v>
      </c>
      <c r="AD112">
        <v>32</v>
      </c>
      <c r="AE112">
        <v>115</v>
      </c>
      <c r="AF112">
        <v>59</v>
      </c>
      <c r="AG112">
        <v>82</v>
      </c>
      <c r="AH112">
        <v>131</v>
      </c>
      <c r="AI112">
        <v>20</v>
      </c>
      <c r="AJ112">
        <v>119</v>
      </c>
      <c r="AK112">
        <v>16</v>
      </c>
      <c r="AL112">
        <v>50</v>
      </c>
      <c r="AM112">
        <v>75</v>
      </c>
      <c r="AN112">
        <v>20</v>
      </c>
      <c r="AO112">
        <v>80</v>
      </c>
      <c r="AP112">
        <v>40</v>
      </c>
      <c r="AQ112">
        <v>56</v>
      </c>
      <c r="AR112">
        <v>40</v>
      </c>
      <c r="AS112">
        <v>34</v>
      </c>
      <c r="AT112">
        <v>117</v>
      </c>
      <c r="AU112">
        <v>136</v>
      </c>
      <c r="AV112">
        <v>60</v>
      </c>
      <c r="AW112">
        <v>158</v>
      </c>
      <c r="AX112">
        <v>246</v>
      </c>
      <c r="AY112">
        <v>92</v>
      </c>
      <c r="AZ112">
        <v>242</v>
      </c>
      <c r="BA112">
        <v>91</v>
      </c>
      <c r="BB112">
        <v>26</v>
      </c>
      <c r="BC112">
        <v>40</v>
      </c>
      <c r="BD112">
        <v>115</v>
      </c>
      <c r="BE112">
        <v>60</v>
      </c>
      <c r="BF112">
        <v>136</v>
      </c>
      <c r="BG112">
        <v>220</v>
      </c>
      <c r="BH112">
        <v>60</v>
      </c>
      <c r="BI112">
        <v>102</v>
      </c>
      <c r="BJ112">
        <v>70</v>
      </c>
      <c r="BK112">
        <v>70</v>
      </c>
      <c r="BL112">
        <v>20</v>
      </c>
      <c r="BM112">
        <v>130</v>
      </c>
      <c r="BN112">
        <v>69</v>
      </c>
      <c r="BO112">
        <v>175</v>
      </c>
      <c r="BP112">
        <v>171</v>
      </c>
      <c r="BQ112">
        <v>198</v>
      </c>
      <c r="BR112">
        <v>120</v>
      </c>
      <c r="BS112">
        <v>60</v>
      </c>
      <c r="BU112" s="1">
        <f>AVERAGE(Table9[[#This Row],[1-Jan-21]:[1-Dec-25]])</f>
        <v>130.73333333333332</v>
      </c>
    </row>
    <row r="113" spans="1:73" x14ac:dyDescent="0.55000000000000004">
      <c r="A113">
        <v>112</v>
      </c>
      <c r="B113" t="s">
        <v>71</v>
      </c>
      <c r="C113" t="s">
        <v>72</v>
      </c>
      <c r="D113" t="s">
        <v>73</v>
      </c>
      <c r="E113" t="s">
        <v>147</v>
      </c>
      <c r="F113">
        <v>110126</v>
      </c>
      <c r="G113" t="s">
        <v>228</v>
      </c>
      <c r="H113" t="s">
        <v>76</v>
      </c>
      <c r="I113" t="s">
        <v>77</v>
      </c>
      <c r="J113">
        <v>201.11</v>
      </c>
      <c r="K113">
        <v>9.9</v>
      </c>
      <c r="L113">
        <v>0</v>
      </c>
      <c r="M113">
        <v>0</v>
      </c>
      <c r="N113">
        <v>16.72</v>
      </c>
      <c r="O113">
        <v>40.5</v>
      </c>
      <c r="P113">
        <v>0</v>
      </c>
      <c r="Q113">
        <v>0</v>
      </c>
      <c r="R113">
        <v>27</v>
      </c>
      <c r="S113">
        <v>22</v>
      </c>
      <c r="T113">
        <v>57.2</v>
      </c>
      <c r="U113">
        <v>56.384999999999998</v>
      </c>
      <c r="V113">
        <v>49.06</v>
      </c>
      <c r="W113">
        <v>20</v>
      </c>
      <c r="X113">
        <v>51.47</v>
      </c>
      <c r="Y113">
        <v>11</v>
      </c>
      <c r="Z113">
        <v>21.7</v>
      </c>
      <c r="AA113">
        <v>63</v>
      </c>
      <c r="AB113">
        <v>98.347999999999999</v>
      </c>
      <c r="AC113">
        <v>16</v>
      </c>
      <c r="AD113">
        <v>16</v>
      </c>
      <c r="AE113">
        <v>50</v>
      </c>
      <c r="AF113">
        <v>0</v>
      </c>
      <c r="AG113">
        <v>25.7</v>
      </c>
      <c r="AH113">
        <v>171.49199999999999</v>
      </c>
      <c r="AI113">
        <v>20</v>
      </c>
      <c r="AJ113">
        <v>18</v>
      </c>
      <c r="AK113">
        <v>48.7</v>
      </c>
      <c r="AL113">
        <v>55</v>
      </c>
      <c r="AM113">
        <v>20</v>
      </c>
      <c r="AN113">
        <v>55.567999999999998</v>
      </c>
      <c r="AO113">
        <v>6.5</v>
      </c>
      <c r="AP113">
        <v>49</v>
      </c>
      <c r="AQ113">
        <v>16.940000000000001</v>
      </c>
      <c r="AR113">
        <v>28</v>
      </c>
      <c r="AS113">
        <v>15</v>
      </c>
      <c r="AT113">
        <v>40</v>
      </c>
      <c r="AU113">
        <v>0</v>
      </c>
      <c r="AV113">
        <v>18</v>
      </c>
      <c r="AW113">
        <v>17.88</v>
      </c>
      <c r="AX113">
        <v>37.520000000000003</v>
      </c>
      <c r="AY113">
        <v>71</v>
      </c>
      <c r="AZ113">
        <v>41</v>
      </c>
      <c r="BA113">
        <v>50.9</v>
      </c>
      <c r="BB113">
        <v>36</v>
      </c>
      <c r="BC113">
        <v>25</v>
      </c>
      <c r="BD113">
        <v>29.34</v>
      </c>
      <c r="BE113">
        <v>55</v>
      </c>
      <c r="BF113">
        <v>72.5</v>
      </c>
      <c r="BG113">
        <v>78</v>
      </c>
      <c r="BH113">
        <v>32.520000000000003</v>
      </c>
      <c r="BI113">
        <v>27.5</v>
      </c>
      <c r="BJ113">
        <v>17</v>
      </c>
      <c r="BK113">
        <v>18</v>
      </c>
      <c r="BL113">
        <v>38</v>
      </c>
      <c r="BM113">
        <v>39</v>
      </c>
      <c r="BN113">
        <v>18.260000000000002</v>
      </c>
      <c r="BO113">
        <v>18</v>
      </c>
      <c r="BP113">
        <v>17</v>
      </c>
      <c r="BQ113">
        <v>33.700000000000003</v>
      </c>
      <c r="BR113">
        <v>18</v>
      </c>
      <c r="BS113">
        <v>54</v>
      </c>
      <c r="BU113" s="1">
        <f>AVERAGE(Table9[[#This Row],[1-Jan-21]:[1-Dec-25]])</f>
        <v>33.421716666666676</v>
      </c>
    </row>
    <row r="114" spans="1:73" x14ac:dyDescent="0.55000000000000004">
      <c r="A114">
        <v>113</v>
      </c>
      <c r="B114" t="s">
        <v>71</v>
      </c>
      <c r="C114" t="s">
        <v>72</v>
      </c>
      <c r="D114" t="s">
        <v>73</v>
      </c>
      <c r="E114" t="s">
        <v>109</v>
      </c>
      <c r="F114">
        <v>118288</v>
      </c>
      <c r="G114" t="s">
        <v>229</v>
      </c>
      <c r="H114" t="s">
        <v>76</v>
      </c>
      <c r="I114" t="s">
        <v>80</v>
      </c>
      <c r="J114">
        <v>13570</v>
      </c>
      <c r="K114">
        <v>1</v>
      </c>
      <c r="L114">
        <v>1</v>
      </c>
      <c r="M114">
        <v>2</v>
      </c>
      <c r="N114">
        <v>1</v>
      </c>
      <c r="O114">
        <v>3</v>
      </c>
      <c r="P114">
        <v>2</v>
      </c>
      <c r="Q114">
        <v>5</v>
      </c>
      <c r="R114">
        <v>4</v>
      </c>
      <c r="S114">
        <v>4</v>
      </c>
      <c r="T114">
        <v>1</v>
      </c>
      <c r="U114">
        <v>0</v>
      </c>
      <c r="V114">
        <v>2</v>
      </c>
      <c r="W114">
        <v>2</v>
      </c>
      <c r="X114">
        <v>6</v>
      </c>
      <c r="Y114">
        <v>4</v>
      </c>
      <c r="Z114">
        <v>4</v>
      </c>
      <c r="AA114">
        <v>1</v>
      </c>
      <c r="AB114">
        <v>6</v>
      </c>
      <c r="AC114">
        <v>1</v>
      </c>
      <c r="AD114">
        <v>0</v>
      </c>
      <c r="AE114">
        <v>1</v>
      </c>
      <c r="AF114">
        <v>2</v>
      </c>
      <c r="AG114">
        <v>1</v>
      </c>
      <c r="AH114">
        <v>0</v>
      </c>
      <c r="AI114">
        <v>0</v>
      </c>
      <c r="AJ114">
        <v>3</v>
      </c>
      <c r="AK114">
        <v>3</v>
      </c>
      <c r="AL114">
        <v>0</v>
      </c>
      <c r="AM114">
        <v>1</v>
      </c>
      <c r="AN114">
        <v>2</v>
      </c>
      <c r="AO114">
        <v>1</v>
      </c>
      <c r="AP114">
        <v>2</v>
      </c>
      <c r="AQ114">
        <v>2</v>
      </c>
      <c r="AR114">
        <v>4</v>
      </c>
      <c r="AS114">
        <v>1</v>
      </c>
      <c r="AT114">
        <v>1</v>
      </c>
      <c r="AU114">
        <v>1</v>
      </c>
      <c r="AV114">
        <v>5</v>
      </c>
      <c r="AW114">
        <v>1</v>
      </c>
      <c r="AX114">
        <v>1</v>
      </c>
      <c r="AY114">
        <v>0</v>
      </c>
      <c r="AZ114">
        <v>2</v>
      </c>
      <c r="BA114">
        <v>0</v>
      </c>
      <c r="BB114">
        <v>1</v>
      </c>
      <c r="BC114">
        <v>5</v>
      </c>
      <c r="BD114">
        <v>0</v>
      </c>
      <c r="BE114">
        <v>6</v>
      </c>
      <c r="BF114">
        <v>1</v>
      </c>
      <c r="BG114">
        <v>1</v>
      </c>
      <c r="BH114">
        <v>2</v>
      </c>
      <c r="BI114">
        <v>2</v>
      </c>
      <c r="BJ114">
        <v>0</v>
      </c>
      <c r="BK114">
        <v>2</v>
      </c>
      <c r="BL114">
        <v>1</v>
      </c>
      <c r="BM114">
        <v>0</v>
      </c>
      <c r="BN114">
        <v>2</v>
      </c>
      <c r="BO114">
        <v>2</v>
      </c>
      <c r="BP114">
        <v>3</v>
      </c>
      <c r="BQ114">
        <v>5</v>
      </c>
      <c r="BR114">
        <v>0</v>
      </c>
      <c r="BS114">
        <v>49</v>
      </c>
      <c r="BU114" s="1">
        <f>AVERAGE(Table9[[#This Row],[1-Jan-21]:[1-Dec-25]])</f>
        <v>1.95</v>
      </c>
    </row>
    <row r="115" spans="1:73" x14ac:dyDescent="0.55000000000000004">
      <c r="A115">
        <v>114</v>
      </c>
      <c r="B115" t="s">
        <v>71</v>
      </c>
      <c r="C115" t="s">
        <v>72</v>
      </c>
      <c r="D115" t="s">
        <v>73</v>
      </c>
      <c r="E115" t="s">
        <v>116</v>
      </c>
      <c r="F115">
        <v>110906</v>
      </c>
      <c r="G115" t="s">
        <v>230</v>
      </c>
      <c r="H115" t="s">
        <v>76</v>
      </c>
      <c r="I115" t="s">
        <v>80</v>
      </c>
      <c r="J115">
        <v>17.23</v>
      </c>
      <c r="K115">
        <v>12</v>
      </c>
      <c r="L115">
        <v>15</v>
      </c>
      <c r="M115">
        <v>0</v>
      </c>
      <c r="N115">
        <v>26</v>
      </c>
      <c r="O115">
        <v>6</v>
      </c>
      <c r="P115">
        <v>15</v>
      </c>
      <c r="Q115">
        <v>3</v>
      </c>
      <c r="R115">
        <v>10</v>
      </c>
      <c r="S115">
        <v>2</v>
      </c>
      <c r="T115">
        <v>4</v>
      </c>
      <c r="U115">
        <v>11</v>
      </c>
      <c r="V115">
        <v>0</v>
      </c>
      <c r="W115">
        <v>8</v>
      </c>
      <c r="X115">
        <v>23</v>
      </c>
      <c r="Y115">
        <v>3</v>
      </c>
      <c r="Z115">
        <v>0</v>
      </c>
      <c r="AA115">
        <v>9</v>
      </c>
      <c r="AB115">
        <v>17</v>
      </c>
      <c r="AC115">
        <v>0</v>
      </c>
      <c r="AD115">
        <v>0</v>
      </c>
      <c r="AE115">
        <v>0</v>
      </c>
      <c r="AF115">
        <v>2</v>
      </c>
      <c r="AG115">
        <v>8</v>
      </c>
      <c r="AH115">
        <v>10</v>
      </c>
      <c r="AI115">
        <v>2</v>
      </c>
      <c r="AJ115">
        <v>8</v>
      </c>
      <c r="AK115">
        <v>0</v>
      </c>
      <c r="AL115">
        <v>0</v>
      </c>
      <c r="AM115">
        <v>0</v>
      </c>
      <c r="AN115">
        <v>1</v>
      </c>
      <c r="AO115">
        <v>6</v>
      </c>
      <c r="AP115">
        <v>12</v>
      </c>
      <c r="AQ115">
        <v>0</v>
      </c>
      <c r="AR115">
        <v>1</v>
      </c>
      <c r="AS115">
        <v>2</v>
      </c>
      <c r="AT115">
        <v>2</v>
      </c>
      <c r="AU115">
        <v>20</v>
      </c>
      <c r="AV115">
        <v>0</v>
      </c>
      <c r="AW115">
        <v>1</v>
      </c>
      <c r="AX115">
        <v>0</v>
      </c>
      <c r="AY115">
        <v>10</v>
      </c>
      <c r="AZ115">
        <v>4</v>
      </c>
      <c r="BA115">
        <v>8</v>
      </c>
      <c r="BB115">
        <v>4</v>
      </c>
      <c r="BC115">
        <v>2</v>
      </c>
      <c r="BD115">
        <v>11</v>
      </c>
      <c r="BE115">
        <v>0</v>
      </c>
      <c r="BF115">
        <v>6</v>
      </c>
      <c r="BG115">
        <v>5</v>
      </c>
      <c r="BH115">
        <v>16</v>
      </c>
      <c r="BI115">
        <v>0</v>
      </c>
      <c r="BJ115">
        <v>3</v>
      </c>
      <c r="BK115">
        <v>0</v>
      </c>
      <c r="BL115">
        <v>0</v>
      </c>
      <c r="BM115">
        <v>0</v>
      </c>
      <c r="BN115">
        <v>8</v>
      </c>
      <c r="BO115">
        <v>2</v>
      </c>
      <c r="BP115">
        <v>5</v>
      </c>
      <c r="BQ115">
        <v>2</v>
      </c>
      <c r="BR115">
        <v>0</v>
      </c>
      <c r="BS115">
        <v>42</v>
      </c>
      <c r="BU115" s="1">
        <f>AVERAGE(Table9[[#This Row],[1-Jan-21]:[1-Dec-25]])</f>
        <v>5.416666666666667</v>
      </c>
    </row>
    <row r="116" spans="1:73" x14ac:dyDescent="0.55000000000000004">
      <c r="A116">
        <v>115</v>
      </c>
      <c r="B116" t="s">
        <v>71</v>
      </c>
      <c r="C116" t="s">
        <v>72</v>
      </c>
      <c r="D116" t="s">
        <v>73</v>
      </c>
      <c r="E116" t="s">
        <v>116</v>
      </c>
      <c r="F116">
        <v>110908</v>
      </c>
      <c r="G116" t="s">
        <v>231</v>
      </c>
      <c r="H116" t="s">
        <v>76</v>
      </c>
      <c r="I116" t="s">
        <v>80</v>
      </c>
      <c r="J116">
        <v>17.45</v>
      </c>
      <c r="K116">
        <v>29</v>
      </c>
      <c r="L116">
        <v>46</v>
      </c>
      <c r="M116">
        <v>34</v>
      </c>
      <c r="N116">
        <v>66</v>
      </c>
      <c r="O116">
        <v>62</v>
      </c>
      <c r="P116">
        <v>62</v>
      </c>
      <c r="Q116">
        <v>22</v>
      </c>
      <c r="R116">
        <v>59</v>
      </c>
      <c r="S116">
        <v>87</v>
      </c>
      <c r="T116">
        <v>44</v>
      </c>
      <c r="U116">
        <v>81</v>
      </c>
      <c r="V116">
        <v>44</v>
      </c>
      <c r="W116">
        <v>35</v>
      </c>
      <c r="X116">
        <v>72</v>
      </c>
      <c r="Y116">
        <v>40</v>
      </c>
      <c r="Z116">
        <v>54</v>
      </c>
      <c r="AA116">
        <v>48</v>
      </c>
      <c r="AB116">
        <v>55</v>
      </c>
      <c r="AC116">
        <v>17</v>
      </c>
      <c r="AD116">
        <v>7</v>
      </c>
      <c r="AE116">
        <v>21</v>
      </c>
      <c r="AF116">
        <v>41</v>
      </c>
      <c r="AG116">
        <v>23</v>
      </c>
      <c r="AH116">
        <v>41</v>
      </c>
      <c r="AI116">
        <v>23</v>
      </c>
      <c r="AJ116">
        <v>10</v>
      </c>
      <c r="AK116">
        <v>41</v>
      </c>
      <c r="AL116">
        <v>22</v>
      </c>
      <c r="AM116">
        <v>33</v>
      </c>
      <c r="AN116">
        <v>33</v>
      </c>
      <c r="AO116">
        <v>62</v>
      </c>
      <c r="AP116">
        <v>26</v>
      </c>
      <c r="AQ116">
        <v>22</v>
      </c>
      <c r="AR116">
        <v>43</v>
      </c>
      <c r="AS116">
        <v>26</v>
      </c>
      <c r="AT116">
        <v>17</v>
      </c>
      <c r="AU116">
        <v>35</v>
      </c>
      <c r="AV116">
        <v>19</v>
      </c>
      <c r="AW116">
        <v>23</v>
      </c>
      <c r="AX116">
        <v>36</v>
      </c>
      <c r="AY116">
        <v>24</v>
      </c>
      <c r="AZ116">
        <v>61</v>
      </c>
      <c r="BA116">
        <v>15</v>
      </c>
      <c r="BB116">
        <v>41</v>
      </c>
      <c r="BC116">
        <v>65</v>
      </c>
      <c r="BD116">
        <v>60</v>
      </c>
      <c r="BE116">
        <v>49</v>
      </c>
      <c r="BF116">
        <v>45</v>
      </c>
      <c r="BG116">
        <v>23</v>
      </c>
      <c r="BH116">
        <v>19</v>
      </c>
      <c r="BI116">
        <v>56</v>
      </c>
      <c r="BJ116">
        <v>46</v>
      </c>
      <c r="BK116">
        <v>56</v>
      </c>
      <c r="BL116">
        <v>16</v>
      </c>
      <c r="BM116">
        <v>87</v>
      </c>
      <c r="BN116">
        <v>36</v>
      </c>
      <c r="BO116">
        <v>13</v>
      </c>
      <c r="BP116">
        <v>30</v>
      </c>
      <c r="BQ116">
        <v>17</v>
      </c>
      <c r="BR116">
        <v>27</v>
      </c>
      <c r="BS116">
        <v>60</v>
      </c>
      <c r="BU116" s="1">
        <f>AVERAGE(Table9[[#This Row],[1-Jan-21]:[1-Dec-25]])</f>
        <v>39.116666666666667</v>
      </c>
    </row>
    <row r="117" spans="1:73" x14ac:dyDescent="0.55000000000000004">
      <c r="A117">
        <v>116</v>
      </c>
      <c r="B117" t="s">
        <v>71</v>
      </c>
      <c r="C117" t="s">
        <v>72</v>
      </c>
      <c r="D117" t="s">
        <v>73</v>
      </c>
      <c r="E117" t="s">
        <v>116</v>
      </c>
      <c r="F117">
        <v>110917</v>
      </c>
      <c r="G117" t="s">
        <v>232</v>
      </c>
      <c r="H117" t="s">
        <v>76</v>
      </c>
      <c r="I117" t="s">
        <v>80</v>
      </c>
      <c r="J117">
        <v>11.5</v>
      </c>
      <c r="K117">
        <v>2</v>
      </c>
      <c r="L117">
        <v>10</v>
      </c>
      <c r="M117">
        <v>6</v>
      </c>
      <c r="N117">
        <v>6</v>
      </c>
      <c r="O117">
        <v>8</v>
      </c>
      <c r="P117">
        <v>8</v>
      </c>
      <c r="Q117">
        <v>8</v>
      </c>
      <c r="R117">
        <v>12</v>
      </c>
      <c r="S117">
        <v>0</v>
      </c>
      <c r="T117">
        <v>0</v>
      </c>
      <c r="U117">
        <v>9</v>
      </c>
      <c r="V117">
        <v>9</v>
      </c>
      <c r="W117">
        <v>0</v>
      </c>
      <c r="X117">
        <v>8</v>
      </c>
      <c r="Y117">
        <v>8</v>
      </c>
      <c r="Z117">
        <v>4</v>
      </c>
      <c r="AA117">
        <v>2</v>
      </c>
      <c r="AB117">
        <v>2</v>
      </c>
      <c r="AC117">
        <v>0</v>
      </c>
      <c r="AD117">
        <v>0</v>
      </c>
      <c r="AE117">
        <v>15</v>
      </c>
      <c r="AF117">
        <v>16</v>
      </c>
      <c r="AG117">
        <v>4</v>
      </c>
      <c r="AH117">
        <v>4</v>
      </c>
      <c r="AI117">
        <v>4</v>
      </c>
      <c r="AJ117">
        <v>0</v>
      </c>
      <c r="AK117">
        <v>1</v>
      </c>
      <c r="AL117">
        <v>0</v>
      </c>
      <c r="AM117">
        <v>6</v>
      </c>
      <c r="AN117">
        <v>6</v>
      </c>
      <c r="AO117">
        <v>0</v>
      </c>
      <c r="AP117">
        <v>0</v>
      </c>
      <c r="AQ117">
        <v>0</v>
      </c>
      <c r="AR117">
        <v>0</v>
      </c>
      <c r="AS117">
        <v>3</v>
      </c>
      <c r="AT117">
        <v>5</v>
      </c>
      <c r="AU117">
        <v>2</v>
      </c>
      <c r="AV117">
        <v>0</v>
      </c>
      <c r="AW117">
        <v>0</v>
      </c>
      <c r="AX117">
        <v>4</v>
      </c>
      <c r="AY117">
        <v>11</v>
      </c>
      <c r="AZ117">
        <v>0</v>
      </c>
      <c r="BA117">
        <v>15</v>
      </c>
      <c r="BB117">
        <v>6</v>
      </c>
      <c r="BC117">
        <v>15</v>
      </c>
      <c r="BD117">
        <v>4</v>
      </c>
      <c r="BE117">
        <v>12</v>
      </c>
      <c r="BF117">
        <v>4</v>
      </c>
      <c r="BG117">
        <v>7</v>
      </c>
      <c r="BH117">
        <v>5</v>
      </c>
      <c r="BI117">
        <v>4</v>
      </c>
      <c r="BJ117">
        <v>0</v>
      </c>
      <c r="BK117">
        <v>4</v>
      </c>
      <c r="BL117">
        <v>11</v>
      </c>
      <c r="BM117">
        <v>4</v>
      </c>
      <c r="BN117">
        <v>5</v>
      </c>
      <c r="BO117">
        <v>3</v>
      </c>
      <c r="BP117">
        <v>2</v>
      </c>
      <c r="BQ117">
        <v>2</v>
      </c>
      <c r="BR117">
        <v>1</v>
      </c>
      <c r="BS117">
        <v>45</v>
      </c>
      <c r="BU117" s="1">
        <f>AVERAGE(Table9[[#This Row],[1-Jan-21]:[1-Dec-25]])</f>
        <v>4.7833333333333332</v>
      </c>
    </row>
    <row r="118" spans="1:73" x14ac:dyDescent="0.55000000000000004">
      <c r="A118">
        <v>117</v>
      </c>
      <c r="B118" t="s">
        <v>71</v>
      </c>
      <c r="C118" t="s">
        <v>72</v>
      </c>
      <c r="D118" t="s">
        <v>73</v>
      </c>
      <c r="E118" t="s">
        <v>83</v>
      </c>
      <c r="F118">
        <v>108757</v>
      </c>
      <c r="G118" t="s">
        <v>233</v>
      </c>
      <c r="H118" t="s">
        <v>76</v>
      </c>
      <c r="I118" t="s">
        <v>77</v>
      </c>
      <c r="J118">
        <v>457.05</v>
      </c>
      <c r="K118">
        <v>79</v>
      </c>
      <c r="L118">
        <v>68</v>
      </c>
      <c r="M118">
        <v>75.900000000000006</v>
      </c>
      <c r="N118">
        <v>53.3</v>
      </c>
      <c r="O118">
        <v>79</v>
      </c>
      <c r="P118">
        <v>35</v>
      </c>
      <c r="Q118">
        <v>44</v>
      </c>
      <c r="R118">
        <v>68.790000000000006</v>
      </c>
      <c r="S118">
        <v>0</v>
      </c>
      <c r="T118">
        <v>40</v>
      </c>
      <c r="U118">
        <v>47</v>
      </c>
      <c r="V118">
        <v>76.262</v>
      </c>
      <c r="W118">
        <v>53</v>
      </c>
      <c r="X118">
        <v>172</v>
      </c>
      <c r="Y118">
        <v>182</v>
      </c>
      <c r="Z118">
        <v>93.5</v>
      </c>
      <c r="AA118">
        <v>107</v>
      </c>
      <c r="AB118">
        <v>0</v>
      </c>
      <c r="AC118">
        <v>56</v>
      </c>
      <c r="AD118">
        <v>45</v>
      </c>
      <c r="AE118">
        <v>38</v>
      </c>
      <c r="AF118">
        <v>55</v>
      </c>
      <c r="AG118">
        <v>62</v>
      </c>
      <c r="AH118">
        <v>0</v>
      </c>
      <c r="AI118">
        <v>62.5</v>
      </c>
      <c r="AJ118">
        <v>12</v>
      </c>
      <c r="AK118">
        <v>33.880000000000003</v>
      </c>
      <c r="AL118">
        <v>0</v>
      </c>
      <c r="AM118">
        <v>60</v>
      </c>
      <c r="AN118">
        <v>92.981999999999999</v>
      </c>
      <c r="AO118">
        <v>84.9</v>
      </c>
      <c r="AP118">
        <v>99</v>
      </c>
      <c r="AQ118">
        <v>151.9</v>
      </c>
      <c r="AR118">
        <v>130.93</v>
      </c>
      <c r="AS118">
        <v>35</v>
      </c>
      <c r="AT118">
        <v>0</v>
      </c>
      <c r="AU118">
        <v>44</v>
      </c>
      <c r="AV118">
        <v>0</v>
      </c>
      <c r="AW118">
        <v>70</v>
      </c>
      <c r="AX118">
        <v>50.7</v>
      </c>
      <c r="AY118">
        <v>49</v>
      </c>
      <c r="AZ118">
        <v>0</v>
      </c>
      <c r="BA118">
        <v>37</v>
      </c>
      <c r="BB118">
        <v>40</v>
      </c>
      <c r="BC118">
        <v>87</v>
      </c>
      <c r="BD118">
        <v>36.503999999999998</v>
      </c>
      <c r="BE118">
        <v>95.62</v>
      </c>
      <c r="BF118">
        <v>61.1</v>
      </c>
      <c r="BG118">
        <v>8.89</v>
      </c>
      <c r="BH118">
        <v>151.4</v>
      </c>
      <c r="BI118">
        <v>47.3</v>
      </c>
      <c r="BJ118">
        <v>111</v>
      </c>
      <c r="BK118">
        <v>67.5</v>
      </c>
      <c r="BL118">
        <v>19.399999999999999</v>
      </c>
      <c r="BM118">
        <v>8</v>
      </c>
      <c r="BN118">
        <v>125</v>
      </c>
      <c r="BO118">
        <v>61</v>
      </c>
      <c r="BP118">
        <v>10</v>
      </c>
      <c r="BQ118">
        <v>46</v>
      </c>
      <c r="BR118">
        <v>85</v>
      </c>
      <c r="BS118">
        <v>53</v>
      </c>
      <c r="BU118" s="1">
        <f>AVERAGE(Table9[[#This Row],[1-Jan-21]:[1-Dec-25]])</f>
        <v>60.070966666666664</v>
      </c>
    </row>
    <row r="119" spans="1:73" x14ac:dyDescent="0.55000000000000004">
      <c r="A119">
        <v>118</v>
      </c>
      <c r="B119" t="s">
        <v>71</v>
      </c>
      <c r="C119" t="s">
        <v>72</v>
      </c>
      <c r="D119" t="s">
        <v>73</v>
      </c>
      <c r="E119" t="s">
        <v>87</v>
      </c>
      <c r="F119">
        <v>107678</v>
      </c>
      <c r="G119" t="s">
        <v>234</v>
      </c>
      <c r="H119" t="s">
        <v>76</v>
      </c>
      <c r="I119" t="s">
        <v>80</v>
      </c>
      <c r="J119">
        <v>4.05</v>
      </c>
      <c r="K119">
        <v>125</v>
      </c>
      <c r="L119">
        <v>45</v>
      </c>
      <c r="M119">
        <v>184</v>
      </c>
      <c r="N119">
        <v>245</v>
      </c>
      <c r="O119">
        <v>50</v>
      </c>
      <c r="P119">
        <v>35</v>
      </c>
      <c r="Q119">
        <v>20</v>
      </c>
      <c r="R119">
        <v>0</v>
      </c>
      <c r="S119">
        <v>102</v>
      </c>
      <c r="T119">
        <v>275</v>
      </c>
      <c r="U119">
        <v>35</v>
      </c>
      <c r="V119">
        <v>240</v>
      </c>
      <c r="W119">
        <v>135</v>
      </c>
      <c r="X119">
        <v>155</v>
      </c>
      <c r="Y119">
        <v>185</v>
      </c>
      <c r="Z119">
        <v>80</v>
      </c>
      <c r="AA119">
        <v>140</v>
      </c>
      <c r="AB119">
        <v>100</v>
      </c>
      <c r="AC119">
        <v>60</v>
      </c>
      <c r="AD119">
        <v>0</v>
      </c>
      <c r="AE119">
        <v>10</v>
      </c>
      <c r="AF119">
        <v>50</v>
      </c>
      <c r="AG119">
        <v>35</v>
      </c>
      <c r="AH119">
        <v>135</v>
      </c>
      <c r="AI119">
        <v>78</v>
      </c>
      <c r="AJ119">
        <v>125</v>
      </c>
      <c r="AK119">
        <v>104</v>
      </c>
      <c r="AL119">
        <v>12</v>
      </c>
      <c r="AM119">
        <v>313</v>
      </c>
      <c r="AN119">
        <v>40</v>
      </c>
      <c r="AO119">
        <v>25</v>
      </c>
      <c r="AP119">
        <v>50</v>
      </c>
      <c r="AQ119">
        <v>188</v>
      </c>
      <c r="AR119">
        <v>35</v>
      </c>
      <c r="AS119">
        <v>140</v>
      </c>
      <c r="AT119">
        <v>138</v>
      </c>
      <c r="AU119">
        <v>95</v>
      </c>
      <c r="AV119">
        <v>49</v>
      </c>
      <c r="AW119">
        <v>98</v>
      </c>
      <c r="AX119">
        <v>182</v>
      </c>
      <c r="AY119">
        <v>100</v>
      </c>
      <c r="AZ119">
        <v>32</v>
      </c>
      <c r="BA119">
        <v>170</v>
      </c>
      <c r="BB119">
        <v>60</v>
      </c>
      <c r="BC119">
        <v>150</v>
      </c>
      <c r="BD119">
        <v>50</v>
      </c>
      <c r="BE119">
        <v>250</v>
      </c>
      <c r="BF119">
        <v>220</v>
      </c>
      <c r="BG119">
        <v>62</v>
      </c>
      <c r="BH119">
        <v>270</v>
      </c>
      <c r="BI119">
        <v>77</v>
      </c>
      <c r="BJ119">
        <v>225</v>
      </c>
      <c r="BK119">
        <v>340</v>
      </c>
      <c r="BL119">
        <v>180</v>
      </c>
      <c r="BM119">
        <v>40</v>
      </c>
      <c r="BN119">
        <v>170</v>
      </c>
      <c r="BO119">
        <v>191</v>
      </c>
      <c r="BP119">
        <v>92</v>
      </c>
      <c r="BQ119">
        <v>175</v>
      </c>
      <c r="BR119">
        <v>105</v>
      </c>
      <c r="BS119">
        <v>58</v>
      </c>
      <c r="BU119" s="1">
        <f>AVERAGE(Table9[[#This Row],[1-Jan-21]:[1-Dec-25]])</f>
        <v>117.86666666666666</v>
      </c>
    </row>
    <row r="120" spans="1:73" x14ac:dyDescent="0.55000000000000004">
      <c r="A120">
        <v>119</v>
      </c>
      <c r="B120" t="s">
        <v>71</v>
      </c>
      <c r="C120" t="s">
        <v>72</v>
      </c>
      <c r="D120" t="s">
        <v>73</v>
      </c>
      <c r="E120" t="s">
        <v>87</v>
      </c>
      <c r="F120">
        <v>107623</v>
      </c>
      <c r="G120" t="s">
        <v>235</v>
      </c>
      <c r="H120" t="s">
        <v>76</v>
      </c>
      <c r="I120" t="s">
        <v>80</v>
      </c>
      <c r="J120">
        <v>13.96</v>
      </c>
      <c r="K120">
        <v>153</v>
      </c>
      <c r="L120">
        <v>356</v>
      </c>
      <c r="M120">
        <v>458</v>
      </c>
      <c r="N120">
        <v>258</v>
      </c>
      <c r="O120">
        <v>57</v>
      </c>
      <c r="P120">
        <v>210</v>
      </c>
      <c r="Q120">
        <v>422</v>
      </c>
      <c r="R120">
        <v>420</v>
      </c>
      <c r="S120">
        <v>555</v>
      </c>
      <c r="T120">
        <v>415</v>
      </c>
      <c r="U120">
        <v>655</v>
      </c>
      <c r="V120">
        <v>593</v>
      </c>
      <c r="W120">
        <v>655</v>
      </c>
      <c r="X120">
        <v>270</v>
      </c>
      <c r="Y120">
        <v>292</v>
      </c>
      <c r="Z120">
        <v>223</v>
      </c>
      <c r="AA120">
        <v>372</v>
      </c>
      <c r="AB120">
        <v>420</v>
      </c>
      <c r="AC120">
        <v>275</v>
      </c>
      <c r="AD120">
        <v>245</v>
      </c>
      <c r="AE120">
        <v>264</v>
      </c>
      <c r="AF120">
        <v>434</v>
      </c>
      <c r="AG120">
        <v>415</v>
      </c>
      <c r="AH120">
        <v>242</v>
      </c>
      <c r="AI120">
        <v>217</v>
      </c>
      <c r="AJ120">
        <v>275</v>
      </c>
      <c r="AK120">
        <v>98</v>
      </c>
      <c r="AL120">
        <v>39</v>
      </c>
      <c r="AM120">
        <v>305</v>
      </c>
      <c r="AN120">
        <v>142</v>
      </c>
      <c r="AO120">
        <v>280</v>
      </c>
      <c r="AP120">
        <v>232</v>
      </c>
      <c r="AQ120">
        <v>137</v>
      </c>
      <c r="AR120">
        <v>285</v>
      </c>
      <c r="AS120">
        <v>340</v>
      </c>
      <c r="AT120">
        <v>245</v>
      </c>
      <c r="AU120">
        <v>517</v>
      </c>
      <c r="AV120">
        <v>176</v>
      </c>
      <c r="AW120">
        <v>266</v>
      </c>
      <c r="AX120">
        <v>240</v>
      </c>
      <c r="AY120">
        <v>356</v>
      </c>
      <c r="AZ120">
        <v>222</v>
      </c>
      <c r="BA120">
        <v>351</v>
      </c>
      <c r="BB120">
        <v>144</v>
      </c>
      <c r="BC120">
        <v>202</v>
      </c>
      <c r="BD120">
        <v>603</v>
      </c>
      <c r="BE120">
        <v>525</v>
      </c>
      <c r="BF120">
        <v>630</v>
      </c>
      <c r="BG120">
        <v>594</v>
      </c>
      <c r="BH120">
        <v>398</v>
      </c>
      <c r="BI120">
        <v>670</v>
      </c>
      <c r="BJ120">
        <v>120</v>
      </c>
      <c r="BK120">
        <v>470</v>
      </c>
      <c r="BL120">
        <v>265</v>
      </c>
      <c r="BM120">
        <v>531</v>
      </c>
      <c r="BN120">
        <v>247</v>
      </c>
      <c r="BO120">
        <v>513</v>
      </c>
      <c r="BP120">
        <v>190</v>
      </c>
      <c r="BQ120">
        <v>235</v>
      </c>
      <c r="BR120">
        <v>174</v>
      </c>
      <c r="BS120">
        <v>60</v>
      </c>
      <c r="BU120" s="1">
        <f>AVERAGE(Table9[[#This Row],[1-Jan-21]:[1-Dec-25]])</f>
        <v>331.55</v>
      </c>
    </row>
    <row r="121" spans="1:73" x14ac:dyDescent="0.55000000000000004">
      <c r="A121">
        <v>120</v>
      </c>
      <c r="B121" t="s">
        <v>71</v>
      </c>
      <c r="C121" t="s">
        <v>72</v>
      </c>
      <c r="D121" t="s">
        <v>73</v>
      </c>
      <c r="E121" t="s">
        <v>184</v>
      </c>
      <c r="F121">
        <v>107789</v>
      </c>
      <c r="G121" t="s">
        <v>236</v>
      </c>
      <c r="H121" t="s">
        <v>76</v>
      </c>
      <c r="I121" t="s">
        <v>80</v>
      </c>
      <c r="J121">
        <v>1.03</v>
      </c>
      <c r="K121">
        <v>67</v>
      </c>
      <c r="L121">
        <v>30</v>
      </c>
      <c r="M121">
        <v>57</v>
      </c>
      <c r="N121">
        <v>101</v>
      </c>
      <c r="O121">
        <v>56</v>
      </c>
      <c r="P121">
        <v>96</v>
      </c>
      <c r="Q121">
        <v>48</v>
      </c>
      <c r="R121">
        <v>100</v>
      </c>
      <c r="S121">
        <v>108</v>
      </c>
      <c r="T121">
        <v>84</v>
      </c>
      <c r="U121">
        <v>90</v>
      </c>
      <c r="V121">
        <v>10</v>
      </c>
      <c r="W121">
        <v>103</v>
      </c>
      <c r="X121">
        <v>85</v>
      </c>
      <c r="Y121">
        <v>81</v>
      </c>
      <c r="Z121">
        <v>75</v>
      </c>
      <c r="AA121">
        <v>102</v>
      </c>
      <c r="AB121">
        <v>76</v>
      </c>
      <c r="AC121">
        <v>10</v>
      </c>
      <c r="AD121">
        <v>7</v>
      </c>
      <c r="AE121">
        <v>25</v>
      </c>
      <c r="AF121">
        <v>30</v>
      </c>
      <c r="AG121">
        <v>0</v>
      </c>
      <c r="AH121">
        <v>113</v>
      </c>
      <c r="AI121">
        <v>63</v>
      </c>
      <c r="AJ121">
        <v>24</v>
      </c>
      <c r="AK121">
        <v>85</v>
      </c>
      <c r="AL121">
        <v>43</v>
      </c>
      <c r="AM121">
        <v>28</v>
      </c>
      <c r="AN121">
        <v>0</v>
      </c>
      <c r="AO121">
        <v>0</v>
      </c>
      <c r="AP121">
        <v>10</v>
      </c>
      <c r="AQ121">
        <v>42</v>
      </c>
      <c r="AR121">
        <v>14</v>
      </c>
      <c r="AS121">
        <v>93</v>
      </c>
      <c r="AT121">
        <v>26</v>
      </c>
      <c r="AU121">
        <v>0</v>
      </c>
      <c r="AV121">
        <v>139</v>
      </c>
      <c r="AW121">
        <v>421</v>
      </c>
      <c r="AX121">
        <v>0</v>
      </c>
      <c r="AY121">
        <v>100</v>
      </c>
      <c r="AZ121">
        <v>35</v>
      </c>
      <c r="BA121">
        <v>130</v>
      </c>
      <c r="BB121">
        <v>58</v>
      </c>
      <c r="BC121">
        <v>119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40</v>
      </c>
      <c r="BU121" s="1">
        <f>AVERAGE(Table9[[#This Row],[1-Jan-21]:[1-Dec-25]])</f>
        <v>49.733333333333334</v>
      </c>
    </row>
    <row r="122" spans="1:73" x14ac:dyDescent="0.55000000000000004">
      <c r="A122">
        <v>121</v>
      </c>
      <c r="B122" t="s">
        <v>71</v>
      </c>
      <c r="C122" t="s">
        <v>72</v>
      </c>
      <c r="D122" t="s">
        <v>73</v>
      </c>
      <c r="E122" t="s">
        <v>87</v>
      </c>
      <c r="F122">
        <v>107618</v>
      </c>
      <c r="G122" t="s">
        <v>237</v>
      </c>
      <c r="H122" t="s">
        <v>76</v>
      </c>
      <c r="I122" t="s">
        <v>80</v>
      </c>
      <c r="J122">
        <v>20.96</v>
      </c>
      <c r="K122">
        <v>28</v>
      </c>
      <c r="L122">
        <v>51</v>
      </c>
      <c r="M122">
        <v>20</v>
      </c>
      <c r="N122">
        <v>0</v>
      </c>
      <c r="O122">
        <v>45</v>
      </c>
      <c r="P122">
        <v>46</v>
      </c>
      <c r="Q122">
        <v>30</v>
      </c>
      <c r="R122">
        <v>20</v>
      </c>
      <c r="S122">
        <v>10</v>
      </c>
      <c r="T122">
        <v>41</v>
      </c>
      <c r="U122">
        <v>0</v>
      </c>
      <c r="V122">
        <v>40</v>
      </c>
      <c r="W122">
        <v>14</v>
      </c>
      <c r="X122">
        <v>14</v>
      </c>
      <c r="Y122">
        <v>38</v>
      </c>
      <c r="Z122">
        <v>23</v>
      </c>
      <c r="AA122">
        <v>50</v>
      </c>
      <c r="AB122">
        <v>0</v>
      </c>
      <c r="AC122">
        <v>20</v>
      </c>
      <c r="AD122">
        <v>0</v>
      </c>
      <c r="AE122">
        <v>71</v>
      </c>
      <c r="AF122">
        <v>20</v>
      </c>
      <c r="AG122">
        <v>26</v>
      </c>
      <c r="AH122">
        <v>57</v>
      </c>
      <c r="AI122">
        <v>0</v>
      </c>
      <c r="AJ122">
        <v>24</v>
      </c>
      <c r="AK122">
        <v>50</v>
      </c>
      <c r="AL122">
        <v>17</v>
      </c>
      <c r="AM122">
        <v>0</v>
      </c>
      <c r="AN122">
        <v>62</v>
      </c>
      <c r="AO122">
        <v>2</v>
      </c>
      <c r="AP122">
        <v>10</v>
      </c>
      <c r="AQ122">
        <v>20</v>
      </c>
      <c r="AR122">
        <v>69</v>
      </c>
      <c r="AS122">
        <v>1</v>
      </c>
      <c r="AT122">
        <v>50</v>
      </c>
      <c r="AU122">
        <v>10</v>
      </c>
      <c r="AV122">
        <v>12</v>
      </c>
      <c r="AW122">
        <v>10</v>
      </c>
      <c r="AX122">
        <v>0</v>
      </c>
      <c r="AY122">
        <v>28</v>
      </c>
      <c r="AZ122">
        <v>45</v>
      </c>
      <c r="BA122">
        <v>6</v>
      </c>
      <c r="BB122">
        <v>37</v>
      </c>
      <c r="BC122">
        <v>10</v>
      </c>
      <c r="BD122">
        <v>33</v>
      </c>
      <c r="BE122">
        <v>34</v>
      </c>
      <c r="BF122">
        <v>20</v>
      </c>
      <c r="BG122">
        <v>14</v>
      </c>
      <c r="BH122">
        <v>20</v>
      </c>
      <c r="BI122">
        <v>0</v>
      </c>
      <c r="BJ122">
        <v>12</v>
      </c>
      <c r="BK122">
        <v>10</v>
      </c>
      <c r="BL122">
        <v>30</v>
      </c>
      <c r="BM122">
        <v>0</v>
      </c>
      <c r="BN122">
        <v>0</v>
      </c>
      <c r="BO122">
        <v>24</v>
      </c>
      <c r="BP122">
        <v>15</v>
      </c>
      <c r="BQ122">
        <v>20</v>
      </c>
      <c r="BR122">
        <v>10</v>
      </c>
      <c r="BS122">
        <v>50</v>
      </c>
      <c r="BU122" s="1">
        <f>AVERAGE(Table9[[#This Row],[1-Jan-21]:[1-Dec-25]])</f>
        <v>22.816666666666666</v>
      </c>
    </row>
    <row r="123" spans="1:73" x14ac:dyDescent="0.55000000000000004">
      <c r="A123">
        <v>122</v>
      </c>
      <c r="B123" t="s">
        <v>71</v>
      </c>
      <c r="C123" t="s">
        <v>72</v>
      </c>
      <c r="D123" t="s">
        <v>73</v>
      </c>
      <c r="E123" t="s">
        <v>87</v>
      </c>
      <c r="F123">
        <v>131241</v>
      </c>
      <c r="G123" t="s">
        <v>238</v>
      </c>
      <c r="H123" t="s">
        <v>76</v>
      </c>
      <c r="I123" t="s">
        <v>80</v>
      </c>
      <c r="J123">
        <v>18.52</v>
      </c>
      <c r="K123">
        <v>18</v>
      </c>
      <c r="L123">
        <v>3</v>
      </c>
      <c r="M123">
        <v>15</v>
      </c>
      <c r="N123">
        <v>30</v>
      </c>
      <c r="O123">
        <v>18</v>
      </c>
      <c r="P123">
        <v>50</v>
      </c>
      <c r="Q123">
        <v>8</v>
      </c>
      <c r="R123">
        <v>12</v>
      </c>
      <c r="S123">
        <v>42</v>
      </c>
      <c r="T123">
        <v>28</v>
      </c>
      <c r="U123">
        <v>0</v>
      </c>
      <c r="V123">
        <v>0</v>
      </c>
      <c r="W123">
        <v>20</v>
      </c>
      <c r="X123">
        <v>11</v>
      </c>
      <c r="Y123">
        <v>20</v>
      </c>
      <c r="Z123">
        <v>11</v>
      </c>
      <c r="AA123">
        <v>47</v>
      </c>
      <c r="AB123">
        <v>2</v>
      </c>
      <c r="AC123">
        <v>0</v>
      </c>
      <c r="AD123">
        <v>43</v>
      </c>
      <c r="AE123">
        <v>20</v>
      </c>
      <c r="AF123">
        <v>0</v>
      </c>
      <c r="AG123">
        <v>20</v>
      </c>
      <c r="AH123">
        <v>26</v>
      </c>
      <c r="AI123">
        <v>40</v>
      </c>
      <c r="AJ123">
        <v>0</v>
      </c>
      <c r="AK123">
        <v>18</v>
      </c>
      <c r="AL123">
        <v>0</v>
      </c>
      <c r="AM123">
        <v>0</v>
      </c>
      <c r="AN123">
        <v>25</v>
      </c>
      <c r="AO123">
        <v>37</v>
      </c>
      <c r="AP123">
        <v>0</v>
      </c>
      <c r="AQ123">
        <v>0</v>
      </c>
      <c r="AR123">
        <v>20</v>
      </c>
      <c r="AS123">
        <v>0</v>
      </c>
      <c r="AT123">
        <v>8</v>
      </c>
      <c r="AU123">
        <v>10</v>
      </c>
      <c r="AV123">
        <v>15</v>
      </c>
      <c r="AW123">
        <v>4</v>
      </c>
      <c r="AX123">
        <v>20</v>
      </c>
      <c r="AY123">
        <v>2</v>
      </c>
      <c r="AZ123">
        <v>0</v>
      </c>
      <c r="BA123">
        <v>0</v>
      </c>
      <c r="BB123">
        <v>0</v>
      </c>
      <c r="BC123">
        <v>5</v>
      </c>
      <c r="BD123">
        <v>10</v>
      </c>
      <c r="BE123">
        <v>8</v>
      </c>
      <c r="BF123">
        <v>15</v>
      </c>
      <c r="BG123">
        <v>30</v>
      </c>
      <c r="BH123">
        <v>11</v>
      </c>
      <c r="BI123">
        <v>12</v>
      </c>
      <c r="BJ123">
        <v>2</v>
      </c>
      <c r="BK123">
        <v>4</v>
      </c>
      <c r="BL123">
        <v>0</v>
      </c>
      <c r="BM123">
        <v>10</v>
      </c>
      <c r="BN123">
        <v>0</v>
      </c>
      <c r="BO123">
        <v>0</v>
      </c>
      <c r="BP123">
        <v>30</v>
      </c>
      <c r="BQ123">
        <v>1</v>
      </c>
      <c r="BR123">
        <v>0</v>
      </c>
      <c r="BS123">
        <v>43</v>
      </c>
      <c r="BU123" s="1">
        <f>AVERAGE(Table9[[#This Row],[1-Jan-21]:[1-Dec-25]])</f>
        <v>13.016666666666667</v>
      </c>
    </row>
    <row r="124" spans="1:73" x14ac:dyDescent="0.55000000000000004">
      <c r="A124">
        <v>123</v>
      </c>
      <c r="B124" t="s">
        <v>71</v>
      </c>
      <c r="C124" t="s">
        <v>72</v>
      </c>
      <c r="D124" t="s">
        <v>73</v>
      </c>
      <c r="E124" t="s">
        <v>134</v>
      </c>
      <c r="F124">
        <v>108443</v>
      </c>
      <c r="G124" t="s">
        <v>239</v>
      </c>
      <c r="H124" t="s">
        <v>76</v>
      </c>
      <c r="I124" t="s">
        <v>80</v>
      </c>
      <c r="J124">
        <v>272.97000000000003</v>
      </c>
      <c r="K124">
        <v>2</v>
      </c>
      <c r="L124">
        <v>2</v>
      </c>
      <c r="M124">
        <v>0</v>
      </c>
      <c r="N124">
        <v>7</v>
      </c>
      <c r="O124">
        <v>2</v>
      </c>
      <c r="P124">
        <v>4</v>
      </c>
      <c r="Q124">
        <v>0</v>
      </c>
      <c r="R124">
        <v>2</v>
      </c>
      <c r="S124">
        <v>6</v>
      </c>
      <c r="T124">
        <v>11</v>
      </c>
      <c r="U124">
        <v>2</v>
      </c>
      <c r="V124">
        <v>0</v>
      </c>
      <c r="W124">
        <v>0</v>
      </c>
      <c r="X124">
        <v>2</v>
      </c>
      <c r="Y124">
        <v>2</v>
      </c>
      <c r="Z124">
        <v>5</v>
      </c>
      <c r="AA124">
        <v>6</v>
      </c>
      <c r="AB124">
        <v>2</v>
      </c>
      <c r="AC124">
        <v>0</v>
      </c>
      <c r="AD124">
        <v>3</v>
      </c>
      <c r="AE124">
        <v>5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4</v>
      </c>
      <c r="AS124">
        <v>3</v>
      </c>
      <c r="AT124">
        <v>4</v>
      </c>
      <c r="AU124">
        <v>3</v>
      </c>
      <c r="AV124">
        <v>4</v>
      </c>
      <c r="AW124">
        <v>9</v>
      </c>
      <c r="AX124">
        <v>2</v>
      </c>
      <c r="AY124">
        <v>0</v>
      </c>
      <c r="AZ124">
        <v>2</v>
      </c>
      <c r="BA124">
        <v>3</v>
      </c>
      <c r="BB124">
        <v>0</v>
      </c>
      <c r="BC124">
        <v>7</v>
      </c>
      <c r="BD124">
        <v>1</v>
      </c>
      <c r="BE124">
        <v>6</v>
      </c>
      <c r="BF124">
        <v>2</v>
      </c>
      <c r="BG124">
        <v>6</v>
      </c>
      <c r="BH124">
        <v>0</v>
      </c>
      <c r="BI124">
        <v>0</v>
      </c>
      <c r="BJ124">
        <v>0</v>
      </c>
      <c r="BK124">
        <v>4</v>
      </c>
      <c r="BL124">
        <v>1</v>
      </c>
      <c r="BM124">
        <v>6</v>
      </c>
      <c r="BN124">
        <v>3</v>
      </c>
      <c r="BO124">
        <v>1</v>
      </c>
      <c r="BP124">
        <v>3</v>
      </c>
      <c r="BQ124">
        <v>1</v>
      </c>
      <c r="BR124">
        <v>0</v>
      </c>
      <c r="BS124">
        <v>41</v>
      </c>
      <c r="BU124" s="1">
        <f>AVERAGE(Table9[[#This Row],[1-Jan-21]:[1-Dec-25]])</f>
        <v>2.4333333333333331</v>
      </c>
    </row>
    <row r="125" spans="1:73" x14ac:dyDescent="0.55000000000000004">
      <c r="A125">
        <v>124</v>
      </c>
      <c r="B125" t="s">
        <v>71</v>
      </c>
      <c r="C125" t="s">
        <v>72</v>
      </c>
      <c r="D125" t="s">
        <v>73</v>
      </c>
      <c r="E125" t="s">
        <v>99</v>
      </c>
      <c r="F125">
        <v>108130</v>
      </c>
      <c r="G125" t="s">
        <v>240</v>
      </c>
      <c r="H125" t="s">
        <v>76</v>
      </c>
      <c r="I125" t="s">
        <v>80</v>
      </c>
      <c r="J125">
        <v>1100</v>
      </c>
      <c r="K125">
        <v>8</v>
      </c>
      <c r="L125">
        <v>3</v>
      </c>
      <c r="M125">
        <v>3</v>
      </c>
      <c r="N125">
        <v>10</v>
      </c>
      <c r="O125">
        <v>9</v>
      </c>
      <c r="P125">
        <v>10</v>
      </c>
      <c r="Q125">
        <v>6</v>
      </c>
      <c r="R125">
        <v>7</v>
      </c>
      <c r="S125">
        <v>0</v>
      </c>
      <c r="T125">
        <v>7</v>
      </c>
      <c r="U125">
        <v>10</v>
      </c>
      <c r="V125">
        <v>8</v>
      </c>
      <c r="W125">
        <v>7</v>
      </c>
      <c r="X125">
        <v>7</v>
      </c>
      <c r="Y125">
        <v>11</v>
      </c>
      <c r="Z125">
        <v>14</v>
      </c>
      <c r="AA125">
        <v>7</v>
      </c>
      <c r="AB125">
        <v>9</v>
      </c>
      <c r="AC125">
        <v>2</v>
      </c>
      <c r="AD125">
        <v>0</v>
      </c>
      <c r="AE125">
        <v>5</v>
      </c>
      <c r="AF125">
        <v>4</v>
      </c>
      <c r="AG125">
        <v>6</v>
      </c>
      <c r="AH125">
        <v>3</v>
      </c>
      <c r="AI125">
        <v>2</v>
      </c>
      <c r="AJ125">
        <v>3</v>
      </c>
      <c r="AK125">
        <v>2</v>
      </c>
      <c r="AL125">
        <v>1</v>
      </c>
      <c r="AM125">
        <v>5</v>
      </c>
      <c r="AN125">
        <v>9</v>
      </c>
      <c r="AO125">
        <v>3</v>
      </c>
      <c r="AP125">
        <v>4</v>
      </c>
      <c r="AQ125">
        <v>5</v>
      </c>
      <c r="AR125">
        <v>6</v>
      </c>
      <c r="AS125">
        <v>12</v>
      </c>
      <c r="AT125">
        <v>13</v>
      </c>
      <c r="AU125">
        <v>3</v>
      </c>
      <c r="AV125">
        <v>7</v>
      </c>
      <c r="AW125">
        <v>5</v>
      </c>
      <c r="AX125">
        <v>6</v>
      </c>
      <c r="AY125">
        <v>9</v>
      </c>
      <c r="AZ125">
        <v>0</v>
      </c>
      <c r="BA125">
        <v>3</v>
      </c>
      <c r="BB125">
        <v>1</v>
      </c>
      <c r="BC125">
        <v>5</v>
      </c>
      <c r="BD125">
        <v>1</v>
      </c>
      <c r="BE125">
        <v>9</v>
      </c>
      <c r="BF125">
        <v>7</v>
      </c>
      <c r="BG125">
        <v>8</v>
      </c>
      <c r="BH125">
        <v>7</v>
      </c>
      <c r="BI125">
        <v>5</v>
      </c>
      <c r="BJ125">
        <v>6</v>
      </c>
      <c r="BK125">
        <v>2</v>
      </c>
      <c r="BL125">
        <v>3</v>
      </c>
      <c r="BM125">
        <v>2</v>
      </c>
      <c r="BN125">
        <v>5</v>
      </c>
      <c r="BO125">
        <v>9</v>
      </c>
      <c r="BP125">
        <v>9</v>
      </c>
      <c r="BQ125">
        <v>4</v>
      </c>
      <c r="BR125">
        <v>3</v>
      </c>
      <c r="BS125">
        <v>57</v>
      </c>
      <c r="BU125" s="1">
        <f>AVERAGE(Table9[[#This Row],[1-Jan-21]:[1-Dec-25]])</f>
        <v>5.666666666666667</v>
      </c>
    </row>
    <row r="126" spans="1:73" x14ac:dyDescent="0.55000000000000004">
      <c r="A126">
        <v>125</v>
      </c>
      <c r="B126" t="s">
        <v>71</v>
      </c>
      <c r="C126" t="s">
        <v>72</v>
      </c>
      <c r="D126" t="s">
        <v>221</v>
      </c>
      <c r="E126" t="s">
        <v>222</v>
      </c>
      <c r="F126">
        <v>110707</v>
      </c>
      <c r="G126" t="s">
        <v>241</v>
      </c>
      <c r="H126" t="s">
        <v>76</v>
      </c>
      <c r="I126" t="s">
        <v>80</v>
      </c>
      <c r="J126">
        <v>2315.7800000000002</v>
      </c>
      <c r="K126">
        <v>1</v>
      </c>
      <c r="L126">
        <v>5</v>
      </c>
      <c r="M126">
        <v>5</v>
      </c>
      <c r="N126">
        <v>5</v>
      </c>
      <c r="O126">
        <v>4</v>
      </c>
      <c r="P126">
        <v>8</v>
      </c>
      <c r="Q126">
        <v>4</v>
      </c>
      <c r="R126">
        <v>4</v>
      </c>
      <c r="S126">
        <v>2</v>
      </c>
      <c r="T126">
        <v>5</v>
      </c>
      <c r="U126">
        <v>5</v>
      </c>
      <c r="V126">
        <v>0</v>
      </c>
      <c r="W126">
        <v>5</v>
      </c>
      <c r="X126">
        <v>5</v>
      </c>
      <c r="Y126">
        <v>6</v>
      </c>
      <c r="Z126">
        <v>8</v>
      </c>
      <c r="AA126">
        <v>6</v>
      </c>
      <c r="AB126">
        <v>5</v>
      </c>
      <c r="AC126">
        <v>4</v>
      </c>
      <c r="AD126">
        <v>10</v>
      </c>
      <c r="AE126">
        <v>2</v>
      </c>
      <c r="AF126">
        <v>5</v>
      </c>
      <c r="AG126">
        <v>2</v>
      </c>
      <c r="AH126">
        <v>3</v>
      </c>
      <c r="AI126">
        <v>4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2</v>
      </c>
      <c r="AP126">
        <v>3</v>
      </c>
      <c r="AQ126">
        <v>0</v>
      </c>
      <c r="AR126">
        <v>3</v>
      </c>
      <c r="AS126">
        <v>1</v>
      </c>
      <c r="AT126">
        <v>1</v>
      </c>
      <c r="AU126">
        <v>1</v>
      </c>
      <c r="AV126">
        <v>2</v>
      </c>
      <c r="AW126">
        <v>0</v>
      </c>
      <c r="AX126">
        <v>1</v>
      </c>
      <c r="AY126">
        <v>1</v>
      </c>
      <c r="AZ126">
        <v>4</v>
      </c>
      <c r="BA126">
        <v>4</v>
      </c>
      <c r="BB126">
        <v>0</v>
      </c>
      <c r="BC126">
        <v>0</v>
      </c>
      <c r="BD126">
        <v>3</v>
      </c>
      <c r="BE126">
        <v>1</v>
      </c>
      <c r="BF126">
        <v>2</v>
      </c>
      <c r="BG126">
        <v>4</v>
      </c>
      <c r="BH126">
        <v>5</v>
      </c>
      <c r="BI126">
        <v>2</v>
      </c>
      <c r="BJ126">
        <v>1</v>
      </c>
      <c r="BK126">
        <v>1</v>
      </c>
      <c r="BL126">
        <v>0</v>
      </c>
      <c r="BM126">
        <v>6</v>
      </c>
      <c r="BN126">
        <v>14</v>
      </c>
      <c r="BO126">
        <v>0</v>
      </c>
      <c r="BP126">
        <v>0</v>
      </c>
      <c r="BQ126">
        <v>0</v>
      </c>
      <c r="BR126">
        <v>0</v>
      </c>
      <c r="BS126">
        <v>46</v>
      </c>
      <c r="BU126" s="1">
        <f>AVERAGE(Table9[[#This Row],[1-Jan-21]:[1-Dec-25]])</f>
        <v>2.95</v>
      </c>
    </row>
    <row r="127" spans="1:73" x14ac:dyDescent="0.55000000000000004">
      <c r="A127">
        <v>126</v>
      </c>
      <c r="B127" t="s">
        <v>71</v>
      </c>
      <c r="C127" t="s">
        <v>72</v>
      </c>
      <c r="D127" t="s">
        <v>73</v>
      </c>
      <c r="E127" t="s">
        <v>151</v>
      </c>
      <c r="F127">
        <v>111399</v>
      </c>
      <c r="G127" t="s">
        <v>242</v>
      </c>
      <c r="H127" t="s">
        <v>76</v>
      </c>
      <c r="I127" t="s">
        <v>80</v>
      </c>
      <c r="J127">
        <v>409.34</v>
      </c>
      <c r="K127">
        <v>90</v>
      </c>
      <c r="L127">
        <v>38</v>
      </c>
      <c r="M127">
        <v>12</v>
      </c>
      <c r="N127">
        <v>25</v>
      </c>
      <c r="O127">
        <v>120</v>
      </c>
      <c r="P127">
        <v>0</v>
      </c>
      <c r="Q127">
        <v>36</v>
      </c>
      <c r="R127">
        <v>28</v>
      </c>
      <c r="S127">
        <v>37</v>
      </c>
      <c r="T127">
        <v>151</v>
      </c>
      <c r="U127">
        <v>270</v>
      </c>
      <c r="V127">
        <v>40</v>
      </c>
      <c r="W127">
        <v>420</v>
      </c>
      <c r="X127">
        <v>274</v>
      </c>
      <c r="Y127">
        <v>154</v>
      </c>
      <c r="Z127">
        <v>115</v>
      </c>
      <c r="AA127">
        <v>101</v>
      </c>
      <c r="AB127">
        <v>18</v>
      </c>
      <c r="AC127">
        <v>30</v>
      </c>
      <c r="AD127">
        <v>68</v>
      </c>
      <c r="AE127">
        <v>16</v>
      </c>
      <c r="AF127">
        <v>36</v>
      </c>
      <c r="AG127">
        <v>71</v>
      </c>
      <c r="AH127">
        <v>8</v>
      </c>
      <c r="AI127">
        <v>34</v>
      </c>
      <c r="AJ127">
        <v>32</v>
      </c>
      <c r="AK127">
        <v>8</v>
      </c>
      <c r="AL127">
        <v>4</v>
      </c>
      <c r="AM127">
        <v>60</v>
      </c>
      <c r="AN127">
        <v>28</v>
      </c>
      <c r="AO127">
        <v>6</v>
      </c>
      <c r="AP127">
        <v>32</v>
      </c>
      <c r="AQ127">
        <v>45</v>
      </c>
      <c r="AR127">
        <v>16</v>
      </c>
      <c r="AS127">
        <v>61</v>
      </c>
      <c r="AT127">
        <v>93</v>
      </c>
      <c r="AU127">
        <v>36</v>
      </c>
      <c r="AV127">
        <v>62</v>
      </c>
      <c r="AW127">
        <v>28</v>
      </c>
      <c r="AX127">
        <v>10</v>
      </c>
      <c r="AY127">
        <v>41</v>
      </c>
      <c r="AZ127">
        <v>20</v>
      </c>
      <c r="BA127">
        <v>8</v>
      </c>
      <c r="BB127">
        <v>48</v>
      </c>
      <c r="BC127">
        <v>62</v>
      </c>
      <c r="BD127">
        <v>88</v>
      </c>
      <c r="BE127">
        <v>32</v>
      </c>
      <c r="BF127">
        <v>24</v>
      </c>
      <c r="BG127">
        <v>8</v>
      </c>
      <c r="BH127">
        <v>22</v>
      </c>
      <c r="BI127">
        <v>88</v>
      </c>
      <c r="BJ127">
        <v>32</v>
      </c>
      <c r="BK127">
        <v>9</v>
      </c>
      <c r="BL127">
        <v>16</v>
      </c>
      <c r="BM127">
        <v>14</v>
      </c>
      <c r="BN127">
        <v>12</v>
      </c>
      <c r="BO127">
        <v>13</v>
      </c>
      <c r="BP127">
        <v>8</v>
      </c>
      <c r="BQ127">
        <v>4</v>
      </c>
      <c r="BR127">
        <v>9</v>
      </c>
      <c r="BS127">
        <v>59</v>
      </c>
      <c r="BU127" s="1">
        <f>AVERAGE(Table9[[#This Row],[1-Jan-21]:[1-Dec-25]])</f>
        <v>54.516666666666666</v>
      </c>
    </row>
    <row r="128" spans="1:73" x14ac:dyDescent="0.55000000000000004">
      <c r="A128">
        <v>127</v>
      </c>
      <c r="B128" t="s">
        <v>71</v>
      </c>
      <c r="C128" t="s">
        <v>72</v>
      </c>
      <c r="D128" t="s">
        <v>73</v>
      </c>
      <c r="E128" t="s">
        <v>99</v>
      </c>
      <c r="F128">
        <v>121135</v>
      </c>
      <c r="G128" t="s">
        <v>243</v>
      </c>
      <c r="H128" t="s">
        <v>76</v>
      </c>
      <c r="I128" t="s">
        <v>80</v>
      </c>
      <c r="J128">
        <v>463.1</v>
      </c>
      <c r="K128">
        <v>11</v>
      </c>
      <c r="L128">
        <v>13</v>
      </c>
      <c r="M128">
        <v>9</v>
      </c>
      <c r="N128">
        <v>2</v>
      </c>
      <c r="O128">
        <v>1</v>
      </c>
      <c r="P128">
        <v>6</v>
      </c>
      <c r="Q128">
        <v>6</v>
      </c>
      <c r="R128">
        <v>4</v>
      </c>
      <c r="S128">
        <v>11</v>
      </c>
      <c r="T128">
        <v>12</v>
      </c>
      <c r="U128">
        <v>3</v>
      </c>
      <c r="V128">
        <v>0</v>
      </c>
      <c r="W128">
        <v>11</v>
      </c>
      <c r="X128">
        <v>23</v>
      </c>
      <c r="Y128">
        <v>13</v>
      </c>
      <c r="Z128">
        <v>4</v>
      </c>
      <c r="AA128">
        <v>16</v>
      </c>
      <c r="AB128">
        <v>10</v>
      </c>
      <c r="AC128">
        <v>14</v>
      </c>
      <c r="AD128">
        <v>3</v>
      </c>
      <c r="AE128">
        <v>4</v>
      </c>
      <c r="AF128">
        <v>12</v>
      </c>
      <c r="AG128">
        <v>5</v>
      </c>
      <c r="AH128">
        <v>4</v>
      </c>
      <c r="AI128">
        <v>12</v>
      </c>
      <c r="AJ128">
        <v>5</v>
      </c>
      <c r="AK128">
        <v>0</v>
      </c>
      <c r="AL128">
        <v>5</v>
      </c>
      <c r="AM128">
        <v>12</v>
      </c>
      <c r="AN128">
        <v>0</v>
      </c>
      <c r="AO128">
        <v>9</v>
      </c>
      <c r="AP128">
        <v>4</v>
      </c>
      <c r="AQ128">
        <v>2</v>
      </c>
      <c r="AR128">
        <v>1</v>
      </c>
      <c r="AS128">
        <v>7</v>
      </c>
      <c r="AT128">
        <v>8</v>
      </c>
      <c r="AU128">
        <v>2</v>
      </c>
      <c r="AV128">
        <v>13</v>
      </c>
      <c r="AW128">
        <v>7</v>
      </c>
      <c r="AX128">
        <v>6</v>
      </c>
      <c r="AY128">
        <v>25</v>
      </c>
      <c r="AZ128">
        <v>2</v>
      </c>
      <c r="BA128">
        <v>9</v>
      </c>
      <c r="BB128">
        <v>10</v>
      </c>
      <c r="BC128">
        <v>19</v>
      </c>
      <c r="BD128">
        <v>5</v>
      </c>
      <c r="BE128">
        <v>11</v>
      </c>
      <c r="BF128">
        <v>14</v>
      </c>
      <c r="BG128">
        <v>5</v>
      </c>
      <c r="BH128">
        <v>5</v>
      </c>
      <c r="BI128">
        <v>4</v>
      </c>
      <c r="BJ128">
        <v>6</v>
      </c>
      <c r="BK128">
        <v>12</v>
      </c>
      <c r="BL128">
        <v>12</v>
      </c>
      <c r="BM128">
        <v>0</v>
      </c>
      <c r="BN128">
        <v>3</v>
      </c>
      <c r="BO128">
        <v>2</v>
      </c>
      <c r="BP128">
        <v>3</v>
      </c>
      <c r="BQ128">
        <v>11</v>
      </c>
      <c r="BR128">
        <v>13</v>
      </c>
      <c r="BS128">
        <v>56</v>
      </c>
      <c r="BU128" s="1">
        <f>AVERAGE(Table9[[#This Row],[1-Jan-21]:[1-Dec-25]])</f>
        <v>7.6833333333333336</v>
      </c>
    </row>
    <row r="129" spans="1:73" x14ac:dyDescent="0.55000000000000004">
      <c r="A129">
        <v>128</v>
      </c>
      <c r="B129" t="s">
        <v>71</v>
      </c>
      <c r="C129" t="s">
        <v>72</v>
      </c>
      <c r="D129" t="s">
        <v>73</v>
      </c>
      <c r="E129" t="s">
        <v>99</v>
      </c>
      <c r="F129">
        <v>108120</v>
      </c>
      <c r="G129" t="s">
        <v>244</v>
      </c>
      <c r="H129" t="s">
        <v>76</v>
      </c>
      <c r="I129" t="s">
        <v>80</v>
      </c>
      <c r="J129">
        <v>150.74</v>
      </c>
      <c r="K129">
        <v>40</v>
      </c>
      <c r="L129">
        <v>28</v>
      </c>
      <c r="M129">
        <v>8</v>
      </c>
      <c r="N129">
        <v>55</v>
      </c>
      <c r="O129">
        <v>22</v>
      </c>
      <c r="P129">
        <v>19</v>
      </c>
      <c r="Q129">
        <v>15</v>
      </c>
      <c r="R129">
        <v>87</v>
      </c>
      <c r="S129">
        <v>63</v>
      </c>
      <c r="T129">
        <v>171</v>
      </c>
      <c r="U129">
        <v>20</v>
      </c>
      <c r="V129">
        <v>128</v>
      </c>
      <c r="W129">
        <v>50</v>
      </c>
      <c r="X129">
        <v>105</v>
      </c>
      <c r="Y129">
        <v>21</v>
      </c>
      <c r="Z129">
        <v>29</v>
      </c>
      <c r="AA129">
        <v>14</v>
      </c>
      <c r="AB129">
        <v>20</v>
      </c>
      <c r="AC129">
        <v>8</v>
      </c>
      <c r="AD129">
        <v>21</v>
      </c>
      <c r="AE129">
        <v>7</v>
      </c>
      <c r="AF129">
        <v>13</v>
      </c>
      <c r="AG129">
        <v>10</v>
      </c>
      <c r="AH129">
        <v>21</v>
      </c>
      <c r="AI129">
        <v>8</v>
      </c>
      <c r="AJ129">
        <v>5</v>
      </c>
      <c r="AK129">
        <v>14</v>
      </c>
      <c r="AL129">
        <v>15</v>
      </c>
      <c r="AM129">
        <v>34</v>
      </c>
      <c r="AN129">
        <v>14</v>
      </c>
      <c r="AO129">
        <v>37</v>
      </c>
      <c r="AP129">
        <v>32</v>
      </c>
      <c r="AQ129">
        <v>76</v>
      </c>
      <c r="AR129">
        <v>1</v>
      </c>
      <c r="AS129">
        <v>15</v>
      </c>
      <c r="AT129">
        <v>44</v>
      </c>
      <c r="AU129">
        <v>61</v>
      </c>
      <c r="AV129">
        <v>19</v>
      </c>
      <c r="AW129">
        <v>16</v>
      </c>
      <c r="AX129">
        <v>71</v>
      </c>
      <c r="AY129">
        <v>95</v>
      </c>
      <c r="AZ129">
        <v>78</v>
      </c>
      <c r="BA129">
        <v>152</v>
      </c>
      <c r="BB129">
        <v>200</v>
      </c>
      <c r="BC129">
        <v>26</v>
      </c>
      <c r="BD129">
        <v>153</v>
      </c>
      <c r="BE129">
        <v>155</v>
      </c>
      <c r="BF129">
        <v>13</v>
      </c>
      <c r="BG129">
        <v>251</v>
      </c>
      <c r="BH129">
        <v>34</v>
      </c>
      <c r="BI129">
        <v>14</v>
      </c>
      <c r="BJ129">
        <v>9</v>
      </c>
      <c r="BK129">
        <v>21</v>
      </c>
      <c r="BL129">
        <v>5</v>
      </c>
      <c r="BM129">
        <v>7</v>
      </c>
      <c r="BN129">
        <v>20</v>
      </c>
      <c r="BO129">
        <v>31</v>
      </c>
      <c r="BP129">
        <v>34</v>
      </c>
      <c r="BQ129">
        <v>34</v>
      </c>
      <c r="BR129">
        <v>54</v>
      </c>
      <c r="BS129">
        <v>60</v>
      </c>
      <c r="BU129" s="1">
        <f>AVERAGE(Table9[[#This Row],[1-Jan-21]:[1-Dec-25]])</f>
        <v>47.05</v>
      </c>
    </row>
    <row r="130" spans="1:73" x14ac:dyDescent="0.55000000000000004">
      <c r="A130">
        <v>129</v>
      </c>
      <c r="B130" t="s">
        <v>71</v>
      </c>
      <c r="C130" t="s">
        <v>72</v>
      </c>
      <c r="D130" t="s">
        <v>73</v>
      </c>
      <c r="E130" t="s">
        <v>116</v>
      </c>
      <c r="F130">
        <v>110900</v>
      </c>
      <c r="G130" t="s">
        <v>245</v>
      </c>
      <c r="H130" t="s">
        <v>76</v>
      </c>
      <c r="I130" t="s">
        <v>80</v>
      </c>
      <c r="J130">
        <v>10.63</v>
      </c>
      <c r="K130">
        <v>0</v>
      </c>
      <c r="L130">
        <v>41</v>
      </c>
      <c r="M130">
        <v>26</v>
      </c>
      <c r="N130">
        <v>41</v>
      </c>
      <c r="O130">
        <v>36</v>
      </c>
      <c r="P130">
        <v>74</v>
      </c>
      <c r="Q130">
        <v>12</v>
      </c>
      <c r="R130">
        <v>37</v>
      </c>
      <c r="S130">
        <v>11</v>
      </c>
      <c r="T130">
        <v>25</v>
      </c>
      <c r="U130">
        <v>38</v>
      </c>
      <c r="V130">
        <v>38</v>
      </c>
      <c r="W130">
        <v>17</v>
      </c>
      <c r="X130">
        <v>34</v>
      </c>
      <c r="Y130">
        <v>17</v>
      </c>
      <c r="Z130">
        <v>36</v>
      </c>
      <c r="AA130">
        <v>19</v>
      </c>
      <c r="AB130">
        <v>40</v>
      </c>
      <c r="AC130">
        <v>2</v>
      </c>
      <c r="AD130">
        <v>4</v>
      </c>
      <c r="AE130">
        <v>15</v>
      </c>
      <c r="AF130">
        <v>14</v>
      </c>
      <c r="AG130">
        <v>7</v>
      </c>
      <c r="AH130">
        <v>20</v>
      </c>
      <c r="AI130">
        <v>42</v>
      </c>
      <c r="AJ130">
        <v>25</v>
      </c>
      <c r="AK130">
        <v>14</v>
      </c>
      <c r="AL130">
        <v>4</v>
      </c>
      <c r="AM130">
        <v>10</v>
      </c>
      <c r="AN130">
        <v>4</v>
      </c>
      <c r="AO130">
        <v>8</v>
      </c>
      <c r="AP130">
        <v>3</v>
      </c>
      <c r="AQ130">
        <v>4</v>
      </c>
      <c r="AR130">
        <v>2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7</v>
      </c>
      <c r="AZ130">
        <v>25</v>
      </c>
      <c r="BA130">
        <v>18</v>
      </c>
      <c r="BB130">
        <v>13</v>
      </c>
      <c r="BC130">
        <v>13</v>
      </c>
      <c r="BD130">
        <v>18</v>
      </c>
      <c r="BE130">
        <v>16</v>
      </c>
      <c r="BF130">
        <v>15</v>
      </c>
      <c r="BG130">
        <v>8</v>
      </c>
      <c r="BH130">
        <v>14</v>
      </c>
      <c r="BI130">
        <v>25</v>
      </c>
      <c r="BJ130">
        <v>15</v>
      </c>
      <c r="BK130">
        <v>10</v>
      </c>
      <c r="BL130">
        <v>15</v>
      </c>
      <c r="BM130">
        <v>18</v>
      </c>
      <c r="BN130">
        <v>8</v>
      </c>
      <c r="BO130">
        <v>15</v>
      </c>
      <c r="BP130">
        <v>27</v>
      </c>
      <c r="BQ130">
        <v>12</v>
      </c>
      <c r="BR130">
        <v>2</v>
      </c>
      <c r="BS130">
        <v>54</v>
      </c>
      <c r="BU130" s="1">
        <f>AVERAGE(Table9[[#This Row],[1-Jan-21]:[1-Dec-25]])</f>
        <v>16.916666666666668</v>
      </c>
    </row>
    <row r="131" spans="1:73" x14ac:dyDescent="0.55000000000000004">
      <c r="A131">
        <v>130</v>
      </c>
      <c r="B131" t="s">
        <v>71</v>
      </c>
      <c r="C131" t="s">
        <v>72</v>
      </c>
      <c r="D131" t="s">
        <v>73</v>
      </c>
      <c r="E131" t="s">
        <v>89</v>
      </c>
      <c r="F131">
        <v>109152</v>
      </c>
      <c r="G131" t="s">
        <v>246</v>
      </c>
      <c r="H131" t="s">
        <v>76</v>
      </c>
      <c r="I131" t="s">
        <v>80</v>
      </c>
      <c r="J131">
        <v>995.44</v>
      </c>
      <c r="K131">
        <v>0</v>
      </c>
      <c r="L131">
        <v>0</v>
      </c>
      <c r="M131">
        <v>0</v>
      </c>
      <c r="N131">
        <v>0</v>
      </c>
      <c r="O131">
        <v>8</v>
      </c>
      <c r="P131">
        <v>3</v>
      </c>
      <c r="Q131">
        <v>8</v>
      </c>
      <c r="R131">
        <v>12</v>
      </c>
      <c r="S131">
        <v>4</v>
      </c>
      <c r="T131">
        <v>5</v>
      </c>
      <c r="U131">
        <v>2</v>
      </c>
      <c r="V131">
        <v>5</v>
      </c>
      <c r="W131">
        <v>4</v>
      </c>
      <c r="X131">
        <v>15</v>
      </c>
      <c r="Y131">
        <v>13</v>
      </c>
      <c r="Z131">
        <v>28</v>
      </c>
      <c r="AA131">
        <v>42</v>
      </c>
      <c r="AB131">
        <v>2</v>
      </c>
      <c r="AC131">
        <v>0</v>
      </c>
      <c r="AD131">
        <v>0</v>
      </c>
      <c r="AE131">
        <v>6</v>
      </c>
      <c r="AF131">
        <v>3</v>
      </c>
      <c r="AG131">
        <v>0</v>
      </c>
      <c r="AH131">
        <v>5</v>
      </c>
      <c r="AI131">
        <v>4</v>
      </c>
      <c r="AJ131">
        <v>0</v>
      </c>
      <c r="AK131">
        <v>0</v>
      </c>
      <c r="AL131">
        <v>0</v>
      </c>
      <c r="AM131">
        <v>2</v>
      </c>
      <c r="AN131">
        <v>2</v>
      </c>
      <c r="AO131">
        <v>2</v>
      </c>
      <c r="AP131">
        <v>0</v>
      </c>
      <c r="AQ131">
        <v>6</v>
      </c>
      <c r="AR131">
        <v>5</v>
      </c>
      <c r="AS131">
        <v>5</v>
      </c>
      <c r="AT131">
        <v>0</v>
      </c>
      <c r="AU131">
        <v>0</v>
      </c>
      <c r="AV131">
        <v>0</v>
      </c>
      <c r="AW131">
        <v>2</v>
      </c>
      <c r="AX131">
        <v>2</v>
      </c>
      <c r="AY131">
        <v>4</v>
      </c>
      <c r="AZ131">
        <v>2</v>
      </c>
      <c r="BA131">
        <v>2</v>
      </c>
      <c r="BB131">
        <v>0</v>
      </c>
      <c r="BC131">
        <v>0</v>
      </c>
      <c r="BD131">
        <v>4</v>
      </c>
      <c r="BE131">
        <v>1</v>
      </c>
      <c r="BF131">
        <v>10</v>
      </c>
      <c r="BG131">
        <v>4</v>
      </c>
      <c r="BH131">
        <v>10</v>
      </c>
      <c r="BI131">
        <v>4</v>
      </c>
      <c r="BJ131">
        <v>3</v>
      </c>
      <c r="BK131">
        <v>4</v>
      </c>
      <c r="BL131">
        <v>8</v>
      </c>
      <c r="BM131">
        <v>2</v>
      </c>
      <c r="BN131">
        <v>1</v>
      </c>
      <c r="BO131">
        <v>0</v>
      </c>
      <c r="BP131">
        <v>0</v>
      </c>
      <c r="BQ131">
        <v>0</v>
      </c>
      <c r="BR131">
        <v>2</v>
      </c>
      <c r="BS131">
        <v>41</v>
      </c>
      <c r="BU131" s="1">
        <f>AVERAGE(Table9[[#This Row],[1-Jan-21]:[1-Dec-25]])</f>
        <v>4.2666666666666666</v>
      </c>
    </row>
    <row r="132" spans="1:73" x14ac:dyDescent="0.55000000000000004">
      <c r="A132">
        <v>131</v>
      </c>
      <c r="B132" t="s">
        <v>71</v>
      </c>
      <c r="C132" t="s">
        <v>72</v>
      </c>
      <c r="D132" t="s">
        <v>73</v>
      </c>
      <c r="E132" t="s">
        <v>147</v>
      </c>
      <c r="F132">
        <v>269206</v>
      </c>
      <c r="G132" t="s">
        <v>247</v>
      </c>
      <c r="H132" t="s">
        <v>76</v>
      </c>
      <c r="I132" t="s">
        <v>77</v>
      </c>
      <c r="J132">
        <v>203.86</v>
      </c>
      <c r="K132">
        <v>0</v>
      </c>
      <c r="L132">
        <v>0</v>
      </c>
      <c r="M132">
        <v>0</v>
      </c>
      <c r="N132">
        <v>0</v>
      </c>
      <c r="O132">
        <v>66.900000000000006</v>
      </c>
      <c r="P132">
        <v>30</v>
      </c>
      <c r="Q132">
        <v>0</v>
      </c>
      <c r="R132">
        <v>24</v>
      </c>
      <c r="S132">
        <v>0</v>
      </c>
      <c r="T132">
        <v>5</v>
      </c>
      <c r="U132">
        <v>23</v>
      </c>
      <c r="V132">
        <v>0</v>
      </c>
      <c r="W132">
        <v>34</v>
      </c>
      <c r="X132">
        <v>37</v>
      </c>
      <c r="Y132">
        <v>20.5</v>
      </c>
      <c r="Z132">
        <v>0</v>
      </c>
      <c r="AA132">
        <v>30</v>
      </c>
      <c r="AB132">
        <v>22</v>
      </c>
      <c r="AC132">
        <v>0</v>
      </c>
      <c r="AD132">
        <v>0</v>
      </c>
      <c r="AE132">
        <v>26</v>
      </c>
      <c r="AF132">
        <v>15</v>
      </c>
      <c r="AG132">
        <v>10</v>
      </c>
      <c r="AH132">
        <v>37.491999999999997</v>
      </c>
      <c r="AI132">
        <v>15.42</v>
      </c>
      <c r="AJ132">
        <v>12</v>
      </c>
      <c r="AK132">
        <v>12.3</v>
      </c>
      <c r="AL132">
        <v>0</v>
      </c>
      <c r="AM132">
        <v>15</v>
      </c>
      <c r="AN132">
        <v>41</v>
      </c>
      <c r="AO132">
        <v>13</v>
      </c>
      <c r="AP132">
        <v>12.5</v>
      </c>
      <c r="AQ132">
        <v>11.5</v>
      </c>
      <c r="AR132">
        <v>13.49</v>
      </c>
      <c r="AS132">
        <v>10</v>
      </c>
      <c r="AT132">
        <v>13</v>
      </c>
      <c r="AU132">
        <v>13</v>
      </c>
      <c r="AV132">
        <v>5</v>
      </c>
      <c r="AW132">
        <v>19</v>
      </c>
      <c r="AX132">
        <v>0</v>
      </c>
      <c r="AY132">
        <v>28.556000000000001</v>
      </c>
      <c r="AZ132">
        <v>0</v>
      </c>
      <c r="BA132">
        <v>12</v>
      </c>
      <c r="BB132">
        <v>15</v>
      </c>
      <c r="BC132">
        <v>13.5</v>
      </c>
      <c r="BD132">
        <v>0</v>
      </c>
      <c r="BE132">
        <v>26.187999999999999</v>
      </c>
      <c r="BF132">
        <v>0</v>
      </c>
      <c r="BG132">
        <v>25</v>
      </c>
      <c r="BH132">
        <v>13</v>
      </c>
      <c r="BI132">
        <v>13</v>
      </c>
      <c r="BJ132">
        <v>0</v>
      </c>
      <c r="BK132">
        <v>13</v>
      </c>
      <c r="BL132">
        <v>24.8</v>
      </c>
      <c r="BM132">
        <v>16.79</v>
      </c>
      <c r="BN132">
        <v>26.8</v>
      </c>
      <c r="BO132">
        <v>35</v>
      </c>
      <c r="BP132">
        <v>13</v>
      </c>
      <c r="BQ132">
        <v>47.76</v>
      </c>
      <c r="BR132">
        <v>41.6</v>
      </c>
      <c r="BS132">
        <v>44</v>
      </c>
      <c r="BU132" s="1">
        <f>AVERAGE(Table9[[#This Row],[1-Jan-21]:[1-Dec-25]])</f>
        <v>15.868266666666667</v>
      </c>
    </row>
    <row r="133" spans="1:73" x14ac:dyDescent="0.55000000000000004">
      <c r="A133">
        <v>132</v>
      </c>
      <c r="B133" t="s">
        <v>71</v>
      </c>
      <c r="C133" t="s">
        <v>72</v>
      </c>
      <c r="D133" t="s">
        <v>73</v>
      </c>
      <c r="E133" t="s">
        <v>99</v>
      </c>
      <c r="F133">
        <v>108112</v>
      </c>
      <c r="G133" t="s">
        <v>248</v>
      </c>
      <c r="H133" t="s">
        <v>76</v>
      </c>
      <c r="I133" t="s">
        <v>80</v>
      </c>
      <c r="J133">
        <v>231.69</v>
      </c>
      <c r="K133">
        <v>47</v>
      </c>
      <c r="L133">
        <v>34</v>
      </c>
      <c r="M133">
        <v>47</v>
      </c>
      <c r="N133">
        <v>78</v>
      </c>
      <c r="O133">
        <v>64</v>
      </c>
      <c r="P133">
        <v>60</v>
      </c>
      <c r="Q133">
        <v>39</v>
      </c>
      <c r="R133">
        <v>37</v>
      </c>
      <c r="S133">
        <v>45</v>
      </c>
      <c r="T133">
        <v>28</v>
      </c>
      <c r="U133">
        <v>35</v>
      </c>
      <c r="V133">
        <v>53</v>
      </c>
      <c r="W133">
        <v>88</v>
      </c>
      <c r="X133">
        <v>61</v>
      </c>
      <c r="Y133">
        <v>22</v>
      </c>
      <c r="Z133">
        <v>45</v>
      </c>
      <c r="AA133">
        <v>39</v>
      </c>
      <c r="AB133">
        <v>55</v>
      </c>
      <c r="AC133">
        <v>27</v>
      </c>
      <c r="AD133">
        <v>54</v>
      </c>
      <c r="AE133">
        <v>32</v>
      </c>
      <c r="AF133">
        <v>46</v>
      </c>
      <c r="AG133">
        <v>21</v>
      </c>
      <c r="AH133">
        <v>27</v>
      </c>
      <c r="AI133">
        <v>37</v>
      </c>
      <c r="AJ133">
        <v>58</v>
      </c>
      <c r="AK133">
        <v>37</v>
      </c>
      <c r="AL133">
        <v>14</v>
      </c>
      <c r="AM133">
        <v>53</v>
      </c>
      <c r="AN133">
        <v>85</v>
      </c>
      <c r="AO133">
        <v>51</v>
      </c>
      <c r="AP133">
        <v>98</v>
      </c>
      <c r="AQ133">
        <v>82</v>
      </c>
      <c r="AR133">
        <v>50</v>
      </c>
      <c r="AS133">
        <v>34</v>
      </c>
      <c r="AT133">
        <v>86</v>
      </c>
      <c r="AU133">
        <v>74</v>
      </c>
      <c r="AV133">
        <v>144</v>
      </c>
      <c r="AW133">
        <v>110</v>
      </c>
      <c r="AX133">
        <v>154</v>
      </c>
      <c r="AY133">
        <v>37</v>
      </c>
      <c r="AZ133">
        <v>162</v>
      </c>
      <c r="BA133">
        <v>93</v>
      </c>
      <c r="BB133">
        <v>72</v>
      </c>
      <c r="BC133">
        <v>28</v>
      </c>
      <c r="BD133">
        <v>82</v>
      </c>
      <c r="BE133">
        <v>84</v>
      </c>
      <c r="BF133">
        <v>96</v>
      </c>
      <c r="BG133">
        <v>144</v>
      </c>
      <c r="BH133">
        <v>84</v>
      </c>
      <c r="BI133">
        <v>49</v>
      </c>
      <c r="BJ133">
        <v>126</v>
      </c>
      <c r="BK133">
        <v>50</v>
      </c>
      <c r="BL133">
        <v>51</v>
      </c>
      <c r="BM133">
        <v>74</v>
      </c>
      <c r="BN133">
        <v>99</v>
      </c>
      <c r="BO133">
        <v>107</v>
      </c>
      <c r="BP133">
        <v>97</v>
      </c>
      <c r="BQ133">
        <v>111</v>
      </c>
      <c r="BR133">
        <v>131</v>
      </c>
      <c r="BS133">
        <v>60</v>
      </c>
      <c r="BU133" s="1">
        <f>AVERAGE(Table9[[#This Row],[1-Jan-21]:[1-Dec-25]])</f>
        <v>67.13333333333334</v>
      </c>
    </row>
    <row r="134" spans="1:73" x14ac:dyDescent="0.55000000000000004">
      <c r="A134">
        <v>133</v>
      </c>
      <c r="B134" t="s">
        <v>71</v>
      </c>
      <c r="C134" t="s">
        <v>72</v>
      </c>
      <c r="D134" t="s">
        <v>73</v>
      </c>
      <c r="E134" t="s">
        <v>249</v>
      </c>
      <c r="F134">
        <v>236315</v>
      </c>
      <c r="G134" t="s">
        <v>250</v>
      </c>
      <c r="H134" t="s">
        <v>76</v>
      </c>
      <c r="I134" t="s">
        <v>80</v>
      </c>
      <c r="J134">
        <v>75.27</v>
      </c>
      <c r="K134">
        <v>7</v>
      </c>
      <c r="L134">
        <v>0</v>
      </c>
      <c r="M134">
        <v>9</v>
      </c>
      <c r="N134">
        <v>11</v>
      </c>
      <c r="O134">
        <v>9</v>
      </c>
      <c r="P134">
        <v>10</v>
      </c>
      <c r="Q134">
        <v>6</v>
      </c>
      <c r="R134">
        <v>6</v>
      </c>
      <c r="S134">
        <v>10</v>
      </c>
      <c r="T134">
        <v>10</v>
      </c>
      <c r="U134">
        <v>8</v>
      </c>
      <c r="V134">
        <v>4</v>
      </c>
      <c r="W134">
        <v>28</v>
      </c>
      <c r="X134">
        <v>15</v>
      </c>
      <c r="Y134">
        <v>6</v>
      </c>
      <c r="Z134">
        <v>3</v>
      </c>
      <c r="AA134">
        <v>12</v>
      </c>
      <c r="AB134">
        <v>16</v>
      </c>
      <c r="AC134">
        <v>3</v>
      </c>
      <c r="AD134">
        <v>0</v>
      </c>
      <c r="AE134">
        <v>7</v>
      </c>
      <c r="AF134">
        <v>13</v>
      </c>
      <c r="AG134">
        <v>10</v>
      </c>
      <c r="AH134">
        <v>5</v>
      </c>
      <c r="AI134">
        <v>18</v>
      </c>
      <c r="AJ134">
        <v>5</v>
      </c>
      <c r="AK134">
        <v>17</v>
      </c>
      <c r="AL134">
        <v>4</v>
      </c>
      <c r="AM134">
        <v>10</v>
      </c>
      <c r="AN134">
        <v>12</v>
      </c>
      <c r="AO134">
        <v>4</v>
      </c>
      <c r="AP134">
        <v>9</v>
      </c>
      <c r="AQ134">
        <v>5</v>
      </c>
      <c r="AR134">
        <v>6</v>
      </c>
      <c r="AS134">
        <v>8</v>
      </c>
      <c r="AT134">
        <v>8</v>
      </c>
      <c r="AU134">
        <v>12</v>
      </c>
      <c r="AV134">
        <v>14</v>
      </c>
      <c r="AW134">
        <v>8</v>
      </c>
      <c r="AX134">
        <v>13</v>
      </c>
      <c r="AY134">
        <v>3</v>
      </c>
      <c r="AZ134">
        <v>12</v>
      </c>
      <c r="BA134">
        <v>13</v>
      </c>
      <c r="BB134">
        <v>0</v>
      </c>
      <c r="BC134">
        <v>13</v>
      </c>
      <c r="BD134">
        <v>3</v>
      </c>
      <c r="BE134">
        <v>8</v>
      </c>
      <c r="BF134">
        <v>2</v>
      </c>
      <c r="BG134">
        <v>7</v>
      </c>
      <c r="BH134">
        <v>12</v>
      </c>
      <c r="BI134">
        <v>7</v>
      </c>
      <c r="BJ134">
        <v>9</v>
      </c>
      <c r="BK134">
        <v>12</v>
      </c>
      <c r="BL134">
        <v>5</v>
      </c>
      <c r="BM134">
        <v>6</v>
      </c>
      <c r="BN134">
        <v>2</v>
      </c>
      <c r="BO134">
        <v>13</v>
      </c>
      <c r="BP134">
        <v>8</v>
      </c>
      <c r="BQ134">
        <v>21</v>
      </c>
      <c r="BR134">
        <v>9</v>
      </c>
      <c r="BS134">
        <v>57</v>
      </c>
      <c r="BU134" s="1">
        <f>AVERAGE(Table9[[#This Row],[1-Jan-21]:[1-Dec-25]])</f>
        <v>8.7666666666666675</v>
      </c>
    </row>
    <row r="135" spans="1:73" x14ac:dyDescent="0.55000000000000004">
      <c r="A135">
        <v>134</v>
      </c>
      <c r="B135" t="s">
        <v>71</v>
      </c>
      <c r="C135" t="s">
        <v>72</v>
      </c>
      <c r="D135" t="s">
        <v>73</v>
      </c>
      <c r="E135" t="s">
        <v>83</v>
      </c>
      <c r="F135">
        <v>108761</v>
      </c>
      <c r="G135" t="s">
        <v>251</v>
      </c>
      <c r="H135" t="s">
        <v>76</v>
      </c>
      <c r="I135" t="s">
        <v>77</v>
      </c>
      <c r="J135">
        <v>421.46</v>
      </c>
      <c r="K135">
        <v>205</v>
      </c>
      <c r="L135">
        <v>84</v>
      </c>
      <c r="M135">
        <v>249</v>
      </c>
      <c r="N135">
        <v>43</v>
      </c>
      <c r="O135">
        <v>95</v>
      </c>
      <c r="P135">
        <v>110</v>
      </c>
      <c r="Q135">
        <v>58</v>
      </c>
      <c r="R135">
        <v>176</v>
      </c>
      <c r="S135">
        <v>39</v>
      </c>
      <c r="T135">
        <v>116</v>
      </c>
      <c r="U135">
        <v>160</v>
      </c>
      <c r="V135">
        <v>79.099999999999994</v>
      </c>
      <c r="W135">
        <v>71</v>
      </c>
      <c r="X135">
        <v>151</v>
      </c>
      <c r="Y135">
        <v>151.61000000000001</v>
      </c>
      <c r="Z135">
        <v>166</v>
      </c>
      <c r="AA135">
        <v>74.5</v>
      </c>
      <c r="AB135">
        <v>76</v>
      </c>
      <c r="AC135">
        <v>71</v>
      </c>
      <c r="AD135">
        <v>175</v>
      </c>
      <c r="AE135">
        <v>90</v>
      </c>
      <c r="AF135">
        <v>69</v>
      </c>
      <c r="AG135">
        <v>65</v>
      </c>
      <c r="AH135">
        <v>28</v>
      </c>
      <c r="AI135">
        <v>135.63999999999999</v>
      </c>
      <c r="AJ135">
        <v>11.33</v>
      </c>
      <c r="AK135">
        <v>168.804</v>
      </c>
      <c r="AL135">
        <v>82</v>
      </c>
      <c r="AM135">
        <v>144</v>
      </c>
      <c r="AN135">
        <v>60</v>
      </c>
      <c r="AO135">
        <v>171.5</v>
      </c>
      <c r="AP135">
        <v>218.5</v>
      </c>
      <c r="AQ135">
        <v>81.213999999999999</v>
      </c>
      <c r="AR135">
        <v>174</v>
      </c>
      <c r="AS135">
        <v>132</v>
      </c>
      <c r="AT135">
        <v>82</v>
      </c>
      <c r="AU135">
        <v>121</v>
      </c>
      <c r="AV135">
        <v>253.417</v>
      </c>
      <c r="AW135">
        <v>83.7</v>
      </c>
      <c r="AX135">
        <v>187</v>
      </c>
      <c r="AY135">
        <v>335.88</v>
      </c>
      <c r="AZ135">
        <v>187.94</v>
      </c>
      <c r="BA135">
        <v>143</v>
      </c>
      <c r="BB135">
        <v>262.5</v>
      </c>
      <c r="BC135">
        <v>314.5</v>
      </c>
      <c r="BD135">
        <v>300</v>
      </c>
      <c r="BE135">
        <v>188</v>
      </c>
      <c r="BF135">
        <v>180</v>
      </c>
      <c r="BG135">
        <v>160</v>
      </c>
      <c r="BH135">
        <v>335</v>
      </c>
      <c r="BI135">
        <v>50</v>
      </c>
      <c r="BJ135">
        <v>183.5</v>
      </c>
      <c r="BK135">
        <v>105</v>
      </c>
      <c r="BL135">
        <v>202</v>
      </c>
      <c r="BM135">
        <v>333.4</v>
      </c>
      <c r="BN135">
        <v>80</v>
      </c>
      <c r="BO135">
        <v>163</v>
      </c>
      <c r="BP135">
        <v>76.5</v>
      </c>
      <c r="BQ135">
        <v>174</v>
      </c>
      <c r="BR135">
        <v>90</v>
      </c>
      <c r="BS135">
        <v>60</v>
      </c>
      <c r="BU135" s="1">
        <f>AVERAGE(Table9[[#This Row],[1-Jan-21]:[1-Dec-25]])</f>
        <v>142.87558333333334</v>
      </c>
    </row>
    <row r="136" spans="1:73" x14ac:dyDescent="0.55000000000000004">
      <c r="A136">
        <v>135</v>
      </c>
      <c r="B136" t="s">
        <v>71</v>
      </c>
      <c r="C136" t="s">
        <v>72</v>
      </c>
      <c r="D136" t="s">
        <v>73</v>
      </c>
      <c r="E136" t="s">
        <v>87</v>
      </c>
      <c r="F136">
        <v>107717</v>
      </c>
      <c r="G136" t="s">
        <v>252</v>
      </c>
      <c r="H136" t="s">
        <v>76</v>
      </c>
      <c r="I136" t="s">
        <v>80</v>
      </c>
      <c r="J136">
        <v>370.52</v>
      </c>
      <c r="K136">
        <v>30</v>
      </c>
      <c r="L136">
        <v>22</v>
      </c>
      <c r="M136">
        <v>24</v>
      </c>
      <c r="N136">
        <v>42</v>
      </c>
      <c r="O136">
        <v>18</v>
      </c>
      <c r="P136">
        <v>36</v>
      </c>
      <c r="Q136">
        <v>12</v>
      </c>
      <c r="R136">
        <v>8</v>
      </c>
      <c r="S136">
        <v>12</v>
      </c>
      <c r="T136">
        <v>12</v>
      </c>
      <c r="U136">
        <v>12</v>
      </c>
      <c r="V136">
        <v>20</v>
      </c>
      <c r="W136">
        <v>14</v>
      </c>
      <c r="X136">
        <v>32</v>
      </c>
      <c r="Y136">
        <v>21</v>
      </c>
      <c r="Z136">
        <v>23</v>
      </c>
      <c r="AA136">
        <v>10</v>
      </c>
      <c r="AB136">
        <v>4</v>
      </c>
      <c r="AC136">
        <v>6</v>
      </c>
      <c r="AD136">
        <v>10</v>
      </c>
      <c r="AE136">
        <v>9</v>
      </c>
      <c r="AF136">
        <v>10</v>
      </c>
      <c r="AG136">
        <v>4</v>
      </c>
      <c r="AH136">
        <v>14</v>
      </c>
      <c r="AI136">
        <v>0</v>
      </c>
      <c r="AJ136">
        <v>12</v>
      </c>
      <c r="AK136">
        <v>10</v>
      </c>
      <c r="AL136">
        <v>6</v>
      </c>
      <c r="AM136">
        <v>5</v>
      </c>
      <c r="AN136">
        <v>8</v>
      </c>
      <c r="AO136">
        <v>9</v>
      </c>
      <c r="AP136">
        <v>0</v>
      </c>
      <c r="AQ136">
        <v>16</v>
      </c>
      <c r="AR136">
        <v>1</v>
      </c>
      <c r="AS136">
        <v>5</v>
      </c>
      <c r="AT136">
        <v>3</v>
      </c>
      <c r="AU136">
        <v>8</v>
      </c>
      <c r="AV136">
        <v>4</v>
      </c>
      <c r="AW136">
        <v>14</v>
      </c>
      <c r="AX136">
        <v>15</v>
      </c>
      <c r="AY136">
        <v>4</v>
      </c>
      <c r="AZ136">
        <v>0</v>
      </c>
      <c r="BA136">
        <v>4</v>
      </c>
      <c r="BB136">
        <v>8</v>
      </c>
      <c r="BC136">
        <v>10</v>
      </c>
      <c r="BD136">
        <v>0</v>
      </c>
      <c r="BE136">
        <v>5</v>
      </c>
      <c r="BF136">
        <v>10</v>
      </c>
      <c r="BG136">
        <v>4</v>
      </c>
      <c r="BH136">
        <v>0</v>
      </c>
      <c r="BI136">
        <v>4</v>
      </c>
      <c r="BJ136">
        <v>8</v>
      </c>
      <c r="BK136">
        <v>3</v>
      </c>
      <c r="BL136">
        <v>0</v>
      </c>
      <c r="BM136">
        <v>0</v>
      </c>
      <c r="BN136">
        <v>0</v>
      </c>
      <c r="BO136">
        <v>12</v>
      </c>
      <c r="BP136">
        <v>0</v>
      </c>
      <c r="BQ136">
        <v>8</v>
      </c>
      <c r="BR136">
        <v>15</v>
      </c>
      <c r="BS136">
        <v>51</v>
      </c>
      <c r="BU136" s="1">
        <f>AVERAGE(Table9[[#This Row],[1-Jan-21]:[1-Dec-25]])</f>
        <v>10.266666666666667</v>
      </c>
    </row>
    <row r="137" spans="1:73" x14ac:dyDescent="0.55000000000000004">
      <c r="A137">
        <v>136</v>
      </c>
      <c r="B137" t="s">
        <v>71</v>
      </c>
      <c r="C137" t="s">
        <v>72</v>
      </c>
      <c r="D137" t="s">
        <v>73</v>
      </c>
      <c r="E137" t="s">
        <v>161</v>
      </c>
      <c r="F137">
        <v>110578</v>
      </c>
      <c r="G137" t="s">
        <v>253</v>
      </c>
      <c r="H137" t="s">
        <v>76</v>
      </c>
      <c r="I137" t="s">
        <v>80</v>
      </c>
      <c r="J137">
        <v>47.05</v>
      </c>
      <c r="K137">
        <v>11</v>
      </c>
      <c r="L137">
        <v>11</v>
      </c>
      <c r="M137">
        <v>15</v>
      </c>
      <c r="N137">
        <v>12</v>
      </c>
      <c r="O137">
        <v>0</v>
      </c>
      <c r="P137">
        <v>18</v>
      </c>
      <c r="Q137">
        <v>0</v>
      </c>
      <c r="R137">
        <v>0</v>
      </c>
      <c r="S137">
        <v>12</v>
      </c>
      <c r="T137">
        <v>34</v>
      </c>
      <c r="U137">
        <v>14</v>
      </c>
      <c r="V137">
        <v>12</v>
      </c>
      <c r="W137">
        <v>23</v>
      </c>
      <c r="X137">
        <v>6</v>
      </c>
      <c r="Y137">
        <v>20</v>
      </c>
      <c r="Z137">
        <v>2</v>
      </c>
      <c r="AA137">
        <v>0</v>
      </c>
      <c r="AB137">
        <v>12</v>
      </c>
      <c r="AC137">
        <v>6</v>
      </c>
      <c r="AD137">
        <v>0</v>
      </c>
      <c r="AE137">
        <v>11</v>
      </c>
      <c r="AF137">
        <v>0</v>
      </c>
      <c r="AG137">
        <v>18</v>
      </c>
      <c r="AH137">
        <v>2</v>
      </c>
      <c r="AI137">
        <v>24</v>
      </c>
      <c r="AJ137">
        <v>15</v>
      </c>
      <c r="AK137">
        <v>2</v>
      </c>
      <c r="AL137">
        <v>2</v>
      </c>
      <c r="AM137">
        <v>6</v>
      </c>
      <c r="AN137">
        <v>0</v>
      </c>
      <c r="AO137">
        <v>5</v>
      </c>
      <c r="AP137">
        <v>0</v>
      </c>
      <c r="AQ137">
        <v>0</v>
      </c>
      <c r="AR137">
        <v>0</v>
      </c>
      <c r="AS137">
        <v>5</v>
      </c>
      <c r="AT137">
        <v>0</v>
      </c>
      <c r="AU137">
        <v>5</v>
      </c>
      <c r="AV137">
        <v>4</v>
      </c>
      <c r="AW137">
        <v>0</v>
      </c>
      <c r="AX137">
        <v>4</v>
      </c>
      <c r="AY137">
        <v>4</v>
      </c>
      <c r="AZ137">
        <v>5</v>
      </c>
      <c r="BA137">
        <v>8</v>
      </c>
      <c r="BB137">
        <v>11</v>
      </c>
      <c r="BC137">
        <v>10</v>
      </c>
      <c r="BD137">
        <v>28</v>
      </c>
      <c r="BE137">
        <v>4</v>
      </c>
      <c r="BF137">
        <v>10</v>
      </c>
      <c r="BG137">
        <v>23</v>
      </c>
      <c r="BH137">
        <v>9</v>
      </c>
      <c r="BI137">
        <v>5</v>
      </c>
      <c r="BJ137">
        <v>0</v>
      </c>
      <c r="BK137">
        <v>24</v>
      </c>
      <c r="BL137">
        <v>0</v>
      </c>
      <c r="BM137">
        <v>2</v>
      </c>
      <c r="BN137">
        <v>9</v>
      </c>
      <c r="BO137">
        <v>0</v>
      </c>
      <c r="BP137">
        <v>0</v>
      </c>
      <c r="BQ137">
        <v>18</v>
      </c>
      <c r="BR137">
        <v>5</v>
      </c>
      <c r="BS137">
        <v>44</v>
      </c>
      <c r="BU137" s="1">
        <f>AVERAGE(Table9[[#This Row],[1-Jan-21]:[1-Dec-25]])</f>
        <v>8.1</v>
      </c>
    </row>
    <row r="138" spans="1:73" x14ac:dyDescent="0.55000000000000004">
      <c r="A138">
        <v>137</v>
      </c>
      <c r="B138" t="s">
        <v>71</v>
      </c>
      <c r="C138" t="s">
        <v>72</v>
      </c>
      <c r="D138" t="s">
        <v>73</v>
      </c>
      <c r="E138" t="s">
        <v>145</v>
      </c>
      <c r="F138">
        <v>110065</v>
      </c>
      <c r="G138" t="s">
        <v>254</v>
      </c>
      <c r="H138" t="s">
        <v>76</v>
      </c>
      <c r="I138" t="s">
        <v>80</v>
      </c>
      <c r="J138">
        <v>109.78</v>
      </c>
      <c r="K138">
        <v>29</v>
      </c>
      <c r="L138">
        <v>14</v>
      </c>
      <c r="M138">
        <v>8</v>
      </c>
      <c r="N138">
        <v>14</v>
      </c>
      <c r="O138">
        <v>15</v>
      </c>
      <c r="P138">
        <v>20</v>
      </c>
      <c r="Q138">
        <v>8</v>
      </c>
      <c r="R138">
        <v>14</v>
      </c>
      <c r="S138">
        <v>30</v>
      </c>
      <c r="T138">
        <v>12</v>
      </c>
      <c r="U138">
        <v>17</v>
      </c>
      <c r="V138">
        <v>8</v>
      </c>
      <c r="W138">
        <v>6</v>
      </c>
      <c r="X138">
        <v>7</v>
      </c>
      <c r="Y138">
        <v>3</v>
      </c>
      <c r="Z138">
        <v>17</v>
      </c>
      <c r="AA138">
        <v>7</v>
      </c>
      <c r="AB138">
        <v>13</v>
      </c>
      <c r="AC138">
        <v>0</v>
      </c>
      <c r="AD138">
        <v>5</v>
      </c>
      <c r="AE138">
        <v>7</v>
      </c>
      <c r="AF138">
        <v>10</v>
      </c>
      <c r="AG138">
        <v>6</v>
      </c>
      <c r="AH138">
        <v>6</v>
      </c>
      <c r="AI138">
        <v>21</v>
      </c>
      <c r="AJ138">
        <v>0</v>
      </c>
      <c r="AK138">
        <v>14</v>
      </c>
      <c r="AL138">
        <v>5</v>
      </c>
      <c r="AM138">
        <v>1</v>
      </c>
      <c r="AN138">
        <v>10</v>
      </c>
      <c r="AO138">
        <v>12</v>
      </c>
      <c r="AP138">
        <v>7</v>
      </c>
      <c r="AQ138">
        <v>10</v>
      </c>
      <c r="AR138">
        <v>11</v>
      </c>
      <c r="AS138">
        <v>6</v>
      </c>
      <c r="AT138">
        <v>14</v>
      </c>
      <c r="AU138">
        <v>8</v>
      </c>
      <c r="AV138">
        <v>12</v>
      </c>
      <c r="AW138">
        <v>0</v>
      </c>
      <c r="AX138">
        <v>16</v>
      </c>
      <c r="AY138">
        <v>10</v>
      </c>
      <c r="AZ138">
        <v>22</v>
      </c>
      <c r="BA138">
        <v>4</v>
      </c>
      <c r="BB138">
        <v>7</v>
      </c>
      <c r="BC138">
        <v>1</v>
      </c>
      <c r="BD138">
        <v>11</v>
      </c>
      <c r="BE138">
        <v>7</v>
      </c>
      <c r="BF138">
        <v>3</v>
      </c>
      <c r="BG138">
        <v>14</v>
      </c>
      <c r="BH138">
        <v>7</v>
      </c>
      <c r="BI138">
        <v>16</v>
      </c>
      <c r="BJ138">
        <v>8</v>
      </c>
      <c r="BK138">
        <v>6</v>
      </c>
      <c r="BL138">
        <v>8</v>
      </c>
      <c r="BM138">
        <v>6</v>
      </c>
      <c r="BN138">
        <v>4</v>
      </c>
      <c r="BO138">
        <v>0</v>
      </c>
      <c r="BP138">
        <v>3</v>
      </c>
      <c r="BQ138">
        <v>29</v>
      </c>
      <c r="BR138">
        <v>2</v>
      </c>
      <c r="BS138">
        <v>56</v>
      </c>
      <c r="BU138" s="1">
        <f>AVERAGE(Table9[[#This Row],[1-Jan-21]:[1-Dec-25]])</f>
        <v>9.85</v>
      </c>
    </row>
    <row r="139" spans="1:73" x14ac:dyDescent="0.55000000000000004">
      <c r="A139">
        <v>138</v>
      </c>
      <c r="B139" t="s">
        <v>71</v>
      </c>
      <c r="C139" t="s">
        <v>72</v>
      </c>
      <c r="D139" t="s">
        <v>73</v>
      </c>
      <c r="E139" t="s">
        <v>145</v>
      </c>
      <c r="F139">
        <v>110048</v>
      </c>
      <c r="G139" t="s">
        <v>255</v>
      </c>
      <c r="H139" t="s">
        <v>76</v>
      </c>
      <c r="I139" t="s">
        <v>80</v>
      </c>
      <c r="J139">
        <v>17.809999999999999</v>
      </c>
      <c r="K139">
        <v>10</v>
      </c>
      <c r="L139">
        <v>0</v>
      </c>
      <c r="M139">
        <v>0</v>
      </c>
      <c r="N139">
        <v>4</v>
      </c>
      <c r="O139">
        <v>0</v>
      </c>
      <c r="P139">
        <v>2</v>
      </c>
      <c r="Q139">
        <v>0</v>
      </c>
      <c r="R139">
        <v>6</v>
      </c>
      <c r="S139">
        <v>0</v>
      </c>
      <c r="T139">
        <v>6</v>
      </c>
      <c r="U139">
        <v>32</v>
      </c>
      <c r="V139">
        <v>0</v>
      </c>
      <c r="W139">
        <v>18</v>
      </c>
      <c r="X139">
        <v>10</v>
      </c>
      <c r="Y139">
        <v>16</v>
      </c>
      <c r="Z139">
        <v>12</v>
      </c>
      <c r="AA139">
        <v>0</v>
      </c>
      <c r="AB139">
        <v>3</v>
      </c>
      <c r="AC139">
        <v>0</v>
      </c>
      <c r="AD139">
        <v>5</v>
      </c>
      <c r="AE139">
        <v>2</v>
      </c>
      <c r="AF139">
        <v>10</v>
      </c>
      <c r="AG139">
        <v>12</v>
      </c>
      <c r="AH139">
        <v>10</v>
      </c>
      <c r="AI139">
        <v>4</v>
      </c>
      <c r="AJ139">
        <v>0</v>
      </c>
      <c r="AK139">
        <v>0</v>
      </c>
      <c r="AL139">
        <v>0</v>
      </c>
      <c r="AM139">
        <v>9</v>
      </c>
      <c r="AN139">
        <v>9</v>
      </c>
      <c r="AO139">
        <v>10</v>
      </c>
      <c r="AP139">
        <v>0</v>
      </c>
      <c r="AQ139">
        <v>1</v>
      </c>
      <c r="AR139">
        <v>17</v>
      </c>
      <c r="AS139">
        <v>14</v>
      </c>
      <c r="AT139">
        <v>2</v>
      </c>
      <c r="AU139">
        <v>10</v>
      </c>
      <c r="AV139">
        <v>7</v>
      </c>
      <c r="AW139">
        <v>2</v>
      </c>
      <c r="AX139">
        <v>22</v>
      </c>
      <c r="AY139">
        <v>4</v>
      </c>
      <c r="AZ139">
        <v>1</v>
      </c>
      <c r="BA139">
        <v>2</v>
      </c>
      <c r="BB139">
        <v>10</v>
      </c>
      <c r="BC139">
        <v>0</v>
      </c>
      <c r="BD139">
        <v>2</v>
      </c>
      <c r="BE139">
        <v>6</v>
      </c>
      <c r="BF139">
        <v>4</v>
      </c>
      <c r="BG139">
        <v>4</v>
      </c>
      <c r="BH139">
        <v>8</v>
      </c>
      <c r="BI139">
        <v>6</v>
      </c>
      <c r="BJ139">
        <v>10</v>
      </c>
      <c r="BK139">
        <v>4</v>
      </c>
      <c r="BL139">
        <v>0</v>
      </c>
      <c r="BM139">
        <v>4</v>
      </c>
      <c r="BN139">
        <v>0</v>
      </c>
      <c r="BO139">
        <v>13</v>
      </c>
      <c r="BP139">
        <v>13</v>
      </c>
      <c r="BQ139">
        <v>20</v>
      </c>
      <c r="BR139">
        <v>8</v>
      </c>
      <c r="BS139">
        <v>45</v>
      </c>
      <c r="BU139" s="1">
        <f>AVERAGE(Table9[[#This Row],[1-Jan-21]:[1-Dec-25]])</f>
        <v>6.4</v>
      </c>
    </row>
    <row r="140" spans="1:73" x14ac:dyDescent="0.55000000000000004">
      <c r="A140">
        <v>139</v>
      </c>
      <c r="B140" t="s">
        <v>71</v>
      </c>
      <c r="C140" t="s">
        <v>72</v>
      </c>
      <c r="D140" t="s">
        <v>73</v>
      </c>
      <c r="E140" t="s">
        <v>81</v>
      </c>
      <c r="F140">
        <v>111263</v>
      </c>
      <c r="G140" t="s">
        <v>256</v>
      </c>
      <c r="H140" t="s">
        <v>76</v>
      </c>
      <c r="I140" t="s">
        <v>80</v>
      </c>
      <c r="J140">
        <v>174.05</v>
      </c>
      <c r="K140">
        <v>60</v>
      </c>
      <c r="L140">
        <v>83</v>
      </c>
      <c r="M140">
        <v>113</v>
      </c>
      <c r="N140">
        <v>88</v>
      </c>
      <c r="O140">
        <v>132</v>
      </c>
      <c r="P140">
        <v>114</v>
      </c>
      <c r="Q140">
        <v>133</v>
      </c>
      <c r="R140">
        <v>72</v>
      </c>
      <c r="S140">
        <v>178</v>
      </c>
      <c r="T140">
        <v>197</v>
      </c>
      <c r="U140">
        <v>98</v>
      </c>
      <c r="V140">
        <v>94</v>
      </c>
      <c r="W140">
        <v>145</v>
      </c>
      <c r="X140">
        <v>36</v>
      </c>
      <c r="Y140">
        <v>69</v>
      </c>
      <c r="Z140">
        <v>69</v>
      </c>
      <c r="AA140">
        <v>88</v>
      </c>
      <c r="AB140">
        <v>67</v>
      </c>
      <c r="AC140">
        <v>40</v>
      </c>
      <c r="AD140">
        <v>86</v>
      </c>
      <c r="AE140">
        <v>66</v>
      </c>
      <c r="AF140">
        <v>56</v>
      </c>
      <c r="AG140">
        <v>106</v>
      </c>
      <c r="AH140">
        <v>63</v>
      </c>
      <c r="AI140">
        <v>58</v>
      </c>
      <c r="AJ140">
        <v>36</v>
      </c>
      <c r="AK140">
        <v>60</v>
      </c>
      <c r="AL140">
        <v>36</v>
      </c>
      <c r="AM140">
        <v>103</v>
      </c>
      <c r="AN140">
        <v>20</v>
      </c>
      <c r="AO140">
        <v>68</v>
      </c>
      <c r="AP140">
        <v>56</v>
      </c>
      <c r="AQ140">
        <v>82</v>
      </c>
      <c r="AR140">
        <v>30</v>
      </c>
      <c r="AS140">
        <v>79</v>
      </c>
      <c r="AT140">
        <v>116</v>
      </c>
      <c r="AU140">
        <v>65</v>
      </c>
      <c r="AV140">
        <v>58</v>
      </c>
      <c r="AW140">
        <v>83</v>
      </c>
      <c r="AX140">
        <v>52</v>
      </c>
      <c r="AY140">
        <v>69</v>
      </c>
      <c r="AZ140">
        <v>44</v>
      </c>
      <c r="BA140">
        <v>37</v>
      </c>
      <c r="BB140">
        <v>20</v>
      </c>
      <c r="BC140">
        <v>45</v>
      </c>
      <c r="BD140">
        <v>32</v>
      </c>
      <c r="BE140">
        <v>77</v>
      </c>
      <c r="BF140">
        <v>21</v>
      </c>
      <c r="BG140">
        <v>50</v>
      </c>
      <c r="BH140">
        <v>119</v>
      </c>
      <c r="BI140">
        <v>109</v>
      </c>
      <c r="BJ140">
        <v>90</v>
      </c>
      <c r="BK140">
        <v>42</v>
      </c>
      <c r="BL140">
        <v>30</v>
      </c>
      <c r="BM140">
        <v>62</v>
      </c>
      <c r="BN140">
        <v>66</v>
      </c>
      <c r="BO140">
        <v>114</v>
      </c>
      <c r="BP140">
        <v>34</v>
      </c>
      <c r="BQ140">
        <v>98</v>
      </c>
      <c r="BR140">
        <v>30</v>
      </c>
      <c r="BS140">
        <v>60</v>
      </c>
      <c r="BU140" s="1">
        <f>AVERAGE(Table9[[#This Row],[1-Jan-21]:[1-Dec-25]])</f>
        <v>74.066666666666663</v>
      </c>
    </row>
    <row r="141" spans="1:73" x14ac:dyDescent="0.55000000000000004">
      <c r="A141">
        <v>140</v>
      </c>
      <c r="B141" t="s">
        <v>71</v>
      </c>
      <c r="C141" t="s">
        <v>72</v>
      </c>
      <c r="D141" t="s">
        <v>73</v>
      </c>
      <c r="E141" t="s">
        <v>87</v>
      </c>
      <c r="F141">
        <v>149392</v>
      </c>
      <c r="G141" t="s">
        <v>257</v>
      </c>
      <c r="H141" t="s">
        <v>76</v>
      </c>
      <c r="I141" t="s">
        <v>80</v>
      </c>
      <c r="J141">
        <v>30.07</v>
      </c>
      <c r="K141">
        <v>31</v>
      </c>
      <c r="L141">
        <v>50</v>
      </c>
      <c r="M141">
        <v>40</v>
      </c>
      <c r="N141">
        <v>50</v>
      </c>
      <c r="O141">
        <v>18</v>
      </c>
      <c r="P141">
        <v>140</v>
      </c>
      <c r="Q141">
        <v>87</v>
      </c>
      <c r="R141">
        <v>140</v>
      </c>
      <c r="S141">
        <v>187</v>
      </c>
      <c r="T141">
        <v>0</v>
      </c>
      <c r="U141">
        <v>60</v>
      </c>
      <c r="V141">
        <v>60</v>
      </c>
      <c r="W141">
        <v>90</v>
      </c>
      <c r="X141">
        <v>16</v>
      </c>
      <c r="Y141">
        <v>110</v>
      </c>
      <c r="Z141">
        <v>205</v>
      </c>
      <c r="AA141">
        <v>146</v>
      </c>
      <c r="AB141">
        <v>104</v>
      </c>
      <c r="AC141">
        <v>20</v>
      </c>
      <c r="AD141">
        <v>108</v>
      </c>
      <c r="AE141">
        <v>4</v>
      </c>
      <c r="AF141">
        <v>10</v>
      </c>
      <c r="AG141">
        <v>20</v>
      </c>
      <c r="AH141">
        <v>0</v>
      </c>
      <c r="AI141">
        <v>78</v>
      </c>
      <c r="AJ141">
        <v>45</v>
      </c>
      <c r="AK141">
        <v>45</v>
      </c>
      <c r="AL141">
        <v>31</v>
      </c>
      <c r="AM141">
        <v>57</v>
      </c>
      <c r="AN141">
        <v>35</v>
      </c>
      <c r="AO141">
        <v>5</v>
      </c>
      <c r="AP141">
        <v>10</v>
      </c>
      <c r="AQ141">
        <v>57</v>
      </c>
      <c r="AR141">
        <v>16</v>
      </c>
      <c r="AS141">
        <v>0</v>
      </c>
      <c r="AT141">
        <v>75</v>
      </c>
      <c r="AU141">
        <v>94</v>
      </c>
      <c r="AV141">
        <v>0</v>
      </c>
      <c r="AW141">
        <v>166</v>
      </c>
      <c r="AX141">
        <v>25</v>
      </c>
      <c r="AY141">
        <v>30</v>
      </c>
      <c r="AZ141">
        <v>0</v>
      </c>
      <c r="BA141">
        <v>22</v>
      </c>
      <c r="BB141">
        <v>0</v>
      </c>
      <c r="BC141">
        <v>80</v>
      </c>
      <c r="BD141">
        <v>180</v>
      </c>
      <c r="BE141">
        <v>60</v>
      </c>
      <c r="BF141">
        <v>0</v>
      </c>
      <c r="BG141">
        <v>0</v>
      </c>
      <c r="BH141">
        <v>0</v>
      </c>
      <c r="BI141">
        <v>50</v>
      </c>
      <c r="BJ141">
        <v>10</v>
      </c>
      <c r="BK141">
        <v>50</v>
      </c>
      <c r="BL141">
        <v>50</v>
      </c>
      <c r="BM141">
        <v>35</v>
      </c>
      <c r="BN141">
        <v>10</v>
      </c>
      <c r="BO141">
        <v>16</v>
      </c>
      <c r="BP141">
        <v>25</v>
      </c>
      <c r="BQ141">
        <v>0</v>
      </c>
      <c r="BR141">
        <v>86</v>
      </c>
      <c r="BS141">
        <v>50</v>
      </c>
      <c r="BU141" s="1">
        <f>AVERAGE(Table9[[#This Row],[1-Jan-21]:[1-Dec-25]])</f>
        <v>52.31666666666667</v>
      </c>
    </row>
    <row r="142" spans="1:73" x14ac:dyDescent="0.55000000000000004">
      <c r="A142">
        <v>141</v>
      </c>
      <c r="B142" t="s">
        <v>71</v>
      </c>
      <c r="C142" t="s">
        <v>72</v>
      </c>
      <c r="D142" t="s">
        <v>73</v>
      </c>
      <c r="E142" t="s">
        <v>258</v>
      </c>
      <c r="F142">
        <v>171253</v>
      </c>
      <c r="G142" t="s">
        <v>259</v>
      </c>
      <c r="H142" t="s">
        <v>76</v>
      </c>
      <c r="I142" t="s">
        <v>80</v>
      </c>
      <c r="J142">
        <v>52.1</v>
      </c>
      <c r="K142">
        <v>30</v>
      </c>
      <c r="L142">
        <v>60</v>
      </c>
      <c r="M142">
        <v>36</v>
      </c>
      <c r="N142">
        <v>45</v>
      </c>
      <c r="O142">
        <v>67</v>
      </c>
      <c r="P142">
        <v>100</v>
      </c>
      <c r="Q142">
        <v>30</v>
      </c>
      <c r="R142">
        <v>0</v>
      </c>
      <c r="S142">
        <v>163</v>
      </c>
      <c r="T142">
        <v>141</v>
      </c>
      <c r="U142">
        <v>10</v>
      </c>
      <c r="V142">
        <v>50</v>
      </c>
      <c r="W142">
        <v>25</v>
      </c>
      <c r="X142">
        <v>87</v>
      </c>
      <c r="Y142">
        <v>0</v>
      </c>
      <c r="Z142">
        <v>41</v>
      </c>
      <c r="AA142">
        <v>50</v>
      </c>
      <c r="AB142">
        <v>52</v>
      </c>
      <c r="AC142">
        <v>73</v>
      </c>
      <c r="AD142">
        <v>23</v>
      </c>
      <c r="AE142">
        <v>22</v>
      </c>
      <c r="AF142">
        <v>24</v>
      </c>
      <c r="AG142">
        <v>10</v>
      </c>
      <c r="AH142">
        <v>62</v>
      </c>
      <c r="AI142">
        <v>98</v>
      </c>
      <c r="AJ142">
        <v>120</v>
      </c>
      <c r="AK142">
        <v>250</v>
      </c>
      <c r="AL142">
        <v>178</v>
      </c>
      <c r="AM142">
        <v>66</v>
      </c>
      <c r="AN142">
        <v>220</v>
      </c>
      <c r="AO142">
        <v>63</v>
      </c>
      <c r="AP142">
        <v>31</v>
      </c>
      <c r="AQ142">
        <v>38</v>
      </c>
      <c r="AR142">
        <v>60</v>
      </c>
      <c r="AS142">
        <v>162</v>
      </c>
      <c r="AT142">
        <v>120</v>
      </c>
      <c r="AU142">
        <v>72</v>
      </c>
      <c r="AV142">
        <v>145</v>
      </c>
      <c r="AW142">
        <v>148</v>
      </c>
      <c r="AX142">
        <v>46</v>
      </c>
      <c r="AY142">
        <v>60</v>
      </c>
      <c r="AZ142">
        <v>16</v>
      </c>
      <c r="BA142">
        <v>225</v>
      </c>
      <c r="BB142">
        <v>80</v>
      </c>
      <c r="BC142">
        <v>26</v>
      </c>
      <c r="BD142">
        <v>58</v>
      </c>
      <c r="BE142">
        <v>79</v>
      </c>
      <c r="BF142">
        <v>88</v>
      </c>
      <c r="BG142">
        <v>98</v>
      </c>
      <c r="BH142">
        <v>267</v>
      </c>
      <c r="BI142">
        <v>89</v>
      </c>
      <c r="BJ142">
        <v>48</v>
      </c>
      <c r="BK142">
        <v>317</v>
      </c>
      <c r="BL142">
        <v>10</v>
      </c>
      <c r="BM142">
        <v>44</v>
      </c>
      <c r="BN142">
        <v>89</v>
      </c>
      <c r="BO142">
        <v>183</v>
      </c>
      <c r="BP142">
        <v>84</v>
      </c>
      <c r="BQ142">
        <v>89</v>
      </c>
      <c r="BR142">
        <v>20</v>
      </c>
      <c r="BS142">
        <v>58</v>
      </c>
      <c r="BU142" s="1">
        <f>AVERAGE(Table9[[#This Row],[1-Jan-21]:[1-Dec-25]])</f>
        <v>83.13333333333334</v>
      </c>
    </row>
    <row r="143" spans="1:73" x14ac:dyDescent="0.55000000000000004">
      <c r="A143">
        <v>142</v>
      </c>
      <c r="B143" t="s">
        <v>71</v>
      </c>
      <c r="C143" t="s">
        <v>72</v>
      </c>
      <c r="D143" t="s">
        <v>73</v>
      </c>
      <c r="E143" t="s">
        <v>87</v>
      </c>
      <c r="F143">
        <v>140333</v>
      </c>
      <c r="G143" t="s">
        <v>260</v>
      </c>
      <c r="H143" t="s">
        <v>76</v>
      </c>
      <c r="I143" t="s">
        <v>80</v>
      </c>
      <c r="J143">
        <v>2.89</v>
      </c>
      <c r="K143">
        <v>70</v>
      </c>
      <c r="L143">
        <v>15</v>
      </c>
      <c r="M143">
        <v>10</v>
      </c>
      <c r="N143">
        <v>50</v>
      </c>
      <c r="O143">
        <v>10</v>
      </c>
      <c r="P143">
        <v>127</v>
      </c>
      <c r="Q143">
        <v>20</v>
      </c>
      <c r="R143">
        <v>20</v>
      </c>
      <c r="S143">
        <v>35</v>
      </c>
      <c r="T143">
        <v>65</v>
      </c>
      <c r="U143">
        <v>0</v>
      </c>
      <c r="V143">
        <v>58</v>
      </c>
      <c r="W143">
        <v>80</v>
      </c>
      <c r="X143">
        <v>75</v>
      </c>
      <c r="Y143">
        <v>30</v>
      </c>
      <c r="Z143">
        <v>50</v>
      </c>
      <c r="AA143">
        <v>205</v>
      </c>
      <c r="AB143">
        <v>80</v>
      </c>
      <c r="AC143">
        <v>40</v>
      </c>
      <c r="AD143">
        <v>0</v>
      </c>
      <c r="AE143">
        <v>20</v>
      </c>
      <c r="AF143">
        <v>55</v>
      </c>
      <c r="AG143">
        <v>20</v>
      </c>
      <c r="AH143">
        <v>25</v>
      </c>
      <c r="AI143">
        <v>55</v>
      </c>
      <c r="AJ143">
        <v>12</v>
      </c>
      <c r="AK143">
        <v>0</v>
      </c>
      <c r="AL143">
        <v>0</v>
      </c>
      <c r="AM143">
        <v>0</v>
      </c>
      <c r="AN143">
        <v>19</v>
      </c>
      <c r="AO143">
        <v>40</v>
      </c>
      <c r="AP143">
        <v>10</v>
      </c>
      <c r="AQ143">
        <v>0</v>
      </c>
      <c r="AR143">
        <v>41</v>
      </c>
      <c r="AS143">
        <v>0</v>
      </c>
      <c r="AT143">
        <v>15</v>
      </c>
      <c r="AU143">
        <v>15</v>
      </c>
      <c r="AV143">
        <v>5</v>
      </c>
      <c r="AW143">
        <v>0</v>
      </c>
      <c r="AX143">
        <v>0</v>
      </c>
      <c r="AY143">
        <v>29</v>
      </c>
      <c r="AZ143">
        <v>18</v>
      </c>
      <c r="BA143">
        <v>20</v>
      </c>
      <c r="BB143">
        <v>40</v>
      </c>
      <c r="BC143">
        <v>37</v>
      </c>
      <c r="BD143">
        <v>0</v>
      </c>
      <c r="BE143">
        <v>0</v>
      </c>
      <c r="BF143">
        <v>29</v>
      </c>
      <c r="BG143">
        <v>30</v>
      </c>
      <c r="BH143">
        <v>30</v>
      </c>
      <c r="BI143">
        <v>20</v>
      </c>
      <c r="BJ143">
        <v>0</v>
      </c>
      <c r="BK143">
        <v>50</v>
      </c>
      <c r="BL143">
        <v>32</v>
      </c>
      <c r="BM143">
        <v>0</v>
      </c>
      <c r="BN143">
        <v>45</v>
      </c>
      <c r="BO143">
        <v>30</v>
      </c>
      <c r="BP143">
        <v>7</v>
      </c>
      <c r="BQ143">
        <v>80</v>
      </c>
      <c r="BR143">
        <v>20</v>
      </c>
      <c r="BS143">
        <v>47</v>
      </c>
      <c r="BU143" s="1">
        <f>AVERAGE(Table9[[#This Row],[1-Jan-21]:[1-Dec-25]])</f>
        <v>31.483333333333334</v>
      </c>
    </row>
    <row r="144" spans="1:73" x14ac:dyDescent="0.55000000000000004">
      <c r="A144">
        <v>143</v>
      </c>
      <c r="B144" t="s">
        <v>71</v>
      </c>
      <c r="C144" t="s">
        <v>72</v>
      </c>
      <c r="D144" t="s">
        <v>73</v>
      </c>
      <c r="E144" t="s">
        <v>111</v>
      </c>
      <c r="F144">
        <v>109823</v>
      </c>
      <c r="G144" t="s">
        <v>261</v>
      </c>
      <c r="H144" t="s">
        <v>76</v>
      </c>
      <c r="I144" t="s">
        <v>105</v>
      </c>
      <c r="J144">
        <v>50.94</v>
      </c>
      <c r="K144">
        <v>190</v>
      </c>
      <c r="L144">
        <v>560</v>
      </c>
      <c r="M144">
        <v>795</v>
      </c>
      <c r="N144">
        <v>406</v>
      </c>
      <c r="O144">
        <v>521</v>
      </c>
      <c r="P144">
        <v>793</v>
      </c>
      <c r="Q144">
        <v>375</v>
      </c>
      <c r="R144">
        <v>300</v>
      </c>
      <c r="S144">
        <v>250</v>
      </c>
      <c r="T144">
        <v>629</v>
      </c>
      <c r="U144">
        <v>619</v>
      </c>
      <c r="V144">
        <v>720</v>
      </c>
      <c r="W144">
        <v>457</v>
      </c>
      <c r="X144">
        <v>582</v>
      </c>
      <c r="Y144">
        <v>1019</v>
      </c>
      <c r="Z144">
        <v>771</v>
      </c>
      <c r="AA144">
        <v>1508</v>
      </c>
      <c r="AB144">
        <v>820</v>
      </c>
      <c r="AC144">
        <v>200</v>
      </c>
      <c r="AD144">
        <v>450</v>
      </c>
      <c r="AE144">
        <v>661</v>
      </c>
      <c r="AF144">
        <v>520</v>
      </c>
      <c r="AG144">
        <v>510</v>
      </c>
      <c r="AH144">
        <v>407</v>
      </c>
      <c r="AI144">
        <v>527</v>
      </c>
      <c r="AJ144">
        <v>410</v>
      </c>
      <c r="AK144">
        <v>566</v>
      </c>
      <c r="AL144">
        <v>735</v>
      </c>
      <c r="AM144">
        <v>506</v>
      </c>
      <c r="AN144">
        <v>280</v>
      </c>
      <c r="AO144">
        <v>226</v>
      </c>
      <c r="AP144">
        <v>135</v>
      </c>
      <c r="AQ144">
        <v>190</v>
      </c>
      <c r="AR144">
        <v>300</v>
      </c>
      <c r="AS144">
        <v>550</v>
      </c>
      <c r="AT144">
        <v>521</v>
      </c>
      <c r="AU144">
        <v>774</v>
      </c>
      <c r="AV144">
        <v>578</v>
      </c>
      <c r="AW144">
        <v>755</v>
      </c>
      <c r="AX144">
        <v>517</v>
      </c>
      <c r="AY144">
        <v>151</v>
      </c>
      <c r="AZ144">
        <v>451</v>
      </c>
      <c r="BA144">
        <v>208</v>
      </c>
      <c r="BB144">
        <v>291</v>
      </c>
      <c r="BC144">
        <v>203</v>
      </c>
      <c r="BD144">
        <v>562</v>
      </c>
      <c r="BE144">
        <v>296</v>
      </c>
      <c r="BF144">
        <v>744</v>
      </c>
      <c r="BG144">
        <v>660</v>
      </c>
      <c r="BH144">
        <v>846</v>
      </c>
      <c r="BI144">
        <v>449</v>
      </c>
      <c r="BJ144">
        <v>618</v>
      </c>
      <c r="BK144">
        <v>363</v>
      </c>
      <c r="BL144">
        <v>748</v>
      </c>
      <c r="BM144">
        <v>502</v>
      </c>
      <c r="BN144">
        <v>465</v>
      </c>
      <c r="BO144">
        <v>498</v>
      </c>
      <c r="BP144">
        <v>490</v>
      </c>
      <c r="BQ144">
        <v>802</v>
      </c>
      <c r="BR144">
        <v>275</v>
      </c>
      <c r="BS144">
        <v>60</v>
      </c>
      <c r="BU144" s="1">
        <f>AVERAGE(Table9[[#This Row],[1-Jan-21]:[1-Dec-25]])</f>
        <v>520.91666666666663</v>
      </c>
    </row>
    <row r="145" spans="1:73" x14ac:dyDescent="0.55000000000000004">
      <c r="A145">
        <v>144</v>
      </c>
      <c r="B145" t="s">
        <v>71</v>
      </c>
      <c r="C145" t="s">
        <v>72</v>
      </c>
      <c r="D145" t="s">
        <v>73</v>
      </c>
      <c r="E145" t="s">
        <v>87</v>
      </c>
      <c r="F145">
        <v>107619</v>
      </c>
      <c r="G145" t="s">
        <v>262</v>
      </c>
      <c r="H145" t="s">
        <v>76</v>
      </c>
      <c r="I145" t="s">
        <v>80</v>
      </c>
      <c r="J145">
        <v>20.84</v>
      </c>
      <c r="K145">
        <v>25</v>
      </c>
      <c r="L145">
        <v>10</v>
      </c>
      <c r="M145">
        <v>21</v>
      </c>
      <c r="N145">
        <v>17</v>
      </c>
      <c r="O145">
        <v>30</v>
      </c>
      <c r="P145">
        <v>20</v>
      </c>
      <c r="Q145">
        <v>48</v>
      </c>
      <c r="R145">
        <v>30</v>
      </c>
      <c r="S145">
        <v>40</v>
      </c>
      <c r="T145">
        <v>18</v>
      </c>
      <c r="U145">
        <v>0</v>
      </c>
      <c r="V145">
        <v>0</v>
      </c>
      <c r="W145">
        <v>0</v>
      </c>
      <c r="X145">
        <v>25</v>
      </c>
      <c r="Y145">
        <v>15</v>
      </c>
      <c r="Z145">
        <v>16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54</v>
      </c>
      <c r="AI145">
        <v>6</v>
      </c>
      <c r="AJ145">
        <v>32</v>
      </c>
      <c r="AK145">
        <v>23</v>
      </c>
      <c r="AL145">
        <v>49</v>
      </c>
      <c r="AM145">
        <v>0</v>
      </c>
      <c r="AN145">
        <v>45</v>
      </c>
      <c r="AO145">
        <v>5</v>
      </c>
      <c r="AP145">
        <v>0</v>
      </c>
      <c r="AQ145">
        <v>0</v>
      </c>
      <c r="AR145">
        <v>74</v>
      </c>
      <c r="AS145">
        <v>0</v>
      </c>
      <c r="AT145">
        <v>9</v>
      </c>
      <c r="AU145">
        <v>95</v>
      </c>
      <c r="AV145">
        <v>35</v>
      </c>
      <c r="AW145">
        <v>0</v>
      </c>
      <c r="AX145">
        <v>30</v>
      </c>
      <c r="AY145">
        <v>26</v>
      </c>
      <c r="AZ145">
        <v>0</v>
      </c>
      <c r="BA145">
        <v>32</v>
      </c>
      <c r="BB145">
        <v>0</v>
      </c>
      <c r="BC145">
        <v>30</v>
      </c>
      <c r="BD145">
        <v>10</v>
      </c>
      <c r="BE145">
        <v>25</v>
      </c>
      <c r="BF145">
        <v>10</v>
      </c>
      <c r="BG145">
        <v>5</v>
      </c>
      <c r="BH145">
        <v>36</v>
      </c>
      <c r="BI145">
        <v>10</v>
      </c>
      <c r="BJ145">
        <v>16</v>
      </c>
      <c r="BK145">
        <v>8</v>
      </c>
      <c r="BL145">
        <v>0</v>
      </c>
      <c r="BM145">
        <v>25</v>
      </c>
      <c r="BN145">
        <v>43</v>
      </c>
      <c r="BO145">
        <v>0</v>
      </c>
      <c r="BP145">
        <v>0</v>
      </c>
      <c r="BQ145">
        <v>50</v>
      </c>
      <c r="BR145">
        <v>32</v>
      </c>
      <c r="BS145">
        <v>40</v>
      </c>
      <c r="BU145" s="1">
        <f>AVERAGE(Table9[[#This Row],[1-Jan-21]:[1-Dec-25]])</f>
        <v>18.833333333333332</v>
      </c>
    </row>
    <row r="146" spans="1:73" x14ac:dyDescent="0.55000000000000004">
      <c r="A146">
        <v>145</v>
      </c>
      <c r="B146" t="s">
        <v>71</v>
      </c>
      <c r="C146" t="s">
        <v>72</v>
      </c>
      <c r="D146" t="s">
        <v>73</v>
      </c>
      <c r="E146" t="s">
        <v>87</v>
      </c>
      <c r="F146">
        <v>107621</v>
      </c>
      <c r="G146" t="s">
        <v>263</v>
      </c>
      <c r="H146" t="s">
        <v>76</v>
      </c>
      <c r="I146" t="s">
        <v>80</v>
      </c>
      <c r="J146">
        <v>27.81</v>
      </c>
      <c r="K146">
        <v>43</v>
      </c>
      <c r="L146">
        <v>52</v>
      </c>
      <c r="M146">
        <v>50</v>
      </c>
      <c r="N146">
        <v>86</v>
      </c>
      <c r="O146">
        <v>166</v>
      </c>
      <c r="P146">
        <v>34</v>
      </c>
      <c r="Q146">
        <v>93</v>
      </c>
      <c r="R146">
        <v>28</v>
      </c>
      <c r="S146">
        <v>60</v>
      </c>
      <c r="T146">
        <v>156</v>
      </c>
      <c r="U146">
        <v>32</v>
      </c>
      <c r="V146">
        <v>46</v>
      </c>
      <c r="W146">
        <v>10</v>
      </c>
      <c r="X146">
        <v>65</v>
      </c>
      <c r="Y146">
        <v>44</v>
      </c>
      <c r="Z146">
        <v>5</v>
      </c>
      <c r="AA146">
        <v>2</v>
      </c>
      <c r="AB146">
        <v>48</v>
      </c>
      <c r="AC146">
        <v>20</v>
      </c>
      <c r="AD146">
        <v>60</v>
      </c>
      <c r="AE146">
        <v>25</v>
      </c>
      <c r="AF146">
        <v>17</v>
      </c>
      <c r="AG146">
        <v>59</v>
      </c>
      <c r="AH146">
        <v>0</v>
      </c>
      <c r="AI146">
        <v>36</v>
      </c>
      <c r="AJ146">
        <v>34</v>
      </c>
      <c r="AK146">
        <v>7</v>
      </c>
      <c r="AL146">
        <v>0</v>
      </c>
      <c r="AM146">
        <v>33</v>
      </c>
      <c r="AN146">
        <v>28</v>
      </c>
      <c r="AO146">
        <v>32</v>
      </c>
      <c r="AP146">
        <v>16</v>
      </c>
      <c r="AQ146">
        <v>16</v>
      </c>
      <c r="AR146">
        <v>23</v>
      </c>
      <c r="AS146">
        <v>8</v>
      </c>
      <c r="AT146">
        <v>0</v>
      </c>
      <c r="AU146">
        <v>36</v>
      </c>
      <c r="AV146">
        <v>1</v>
      </c>
      <c r="AW146">
        <v>8</v>
      </c>
      <c r="AX146">
        <v>0</v>
      </c>
      <c r="AY146">
        <v>34</v>
      </c>
      <c r="AZ146">
        <v>6</v>
      </c>
      <c r="BA146">
        <v>20</v>
      </c>
      <c r="BB146">
        <v>37</v>
      </c>
      <c r="BC146">
        <v>20</v>
      </c>
      <c r="BD146">
        <v>24</v>
      </c>
      <c r="BE146">
        <v>70</v>
      </c>
      <c r="BF146">
        <v>50</v>
      </c>
      <c r="BG146">
        <v>0</v>
      </c>
      <c r="BH146">
        <v>35</v>
      </c>
      <c r="BI146">
        <v>15</v>
      </c>
      <c r="BJ146">
        <v>30</v>
      </c>
      <c r="BK146">
        <v>16</v>
      </c>
      <c r="BL146">
        <v>0</v>
      </c>
      <c r="BM146">
        <v>65</v>
      </c>
      <c r="BN146">
        <v>62</v>
      </c>
      <c r="BO146">
        <v>20</v>
      </c>
      <c r="BP146">
        <v>8</v>
      </c>
      <c r="BQ146">
        <v>0</v>
      </c>
      <c r="BR146">
        <v>0</v>
      </c>
      <c r="BS146">
        <v>52</v>
      </c>
      <c r="BU146" s="1">
        <f>AVERAGE(Table9[[#This Row],[1-Jan-21]:[1-Dec-25]])</f>
        <v>33.18333333333333</v>
      </c>
    </row>
    <row r="147" spans="1:73" x14ac:dyDescent="0.55000000000000004">
      <c r="A147">
        <v>146</v>
      </c>
      <c r="B147" t="s">
        <v>71</v>
      </c>
      <c r="C147" t="s">
        <v>72</v>
      </c>
      <c r="D147" t="s">
        <v>73</v>
      </c>
      <c r="E147" t="s">
        <v>87</v>
      </c>
      <c r="F147">
        <v>107593</v>
      </c>
      <c r="G147" t="s">
        <v>264</v>
      </c>
      <c r="H147" t="s">
        <v>76</v>
      </c>
      <c r="I147" t="s">
        <v>80</v>
      </c>
      <c r="J147">
        <v>12.74</v>
      </c>
      <c r="K147">
        <v>56</v>
      </c>
      <c r="L147">
        <v>44</v>
      </c>
      <c r="M147">
        <v>175</v>
      </c>
      <c r="N147">
        <v>119</v>
      </c>
      <c r="O147">
        <v>24</v>
      </c>
      <c r="P147">
        <v>130</v>
      </c>
      <c r="Q147">
        <v>115</v>
      </c>
      <c r="R147">
        <v>70</v>
      </c>
      <c r="S147">
        <v>96</v>
      </c>
      <c r="T147">
        <v>152</v>
      </c>
      <c r="U147">
        <v>220</v>
      </c>
      <c r="V147">
        <v>12</v>
      </c>
      <c r="W147">
        <v>60</v>
      </c>
      <c r="X147">
        <v>70</v>
      </c>
      <c r="Y147">
        <v>0</v>
      </c>
      <c r="Z147">
        <v>75</v>
      </c>
      <c r="AA147">
        <v>30</v>
      </c>
      <c r="AB147">
        <v>139</v>
      </c>
      <c r="AC147">
        <v>70</v>
      </c>
      <c r="AD147">
        <v>30</v>
      </c>
      <c r="AE147">
        <v>20</v>
      </c>
      <c r="AF147">
        <v>12</v>
      </c>
      <c r="AG147">
        <v>2</v>
      </c>
      <c r="AH147">
        <v>72</v>
      </c>
      <c r="AI147">
        <v>31</v>
      </c>
      <c r="AJ147">
        <v>0</v>
      </c>
      <c r="AK147">
        <v>28</v>
      </c>
      <c r="AL147">
        <v>75</v>
      </c>
      <c r="AM147">
        <v>103</v>
      </c>
      <c r="AN147">
        <v>0</v>
      </c>
      <c r="AO147">
        <v>30</v>
      </c>
      <c r="AP147">
        <v>20</v>
      </c>
      <c r="AQ147">
        <v>0</v>
      </c>
      <c r="AR147">
        <v>0</v>
      </c>
      <c r="AS147">
        <v>46</v>
      </c>
      <c r="AT147">
        <v>24</v>
      </c>
      <c r="AU147">
        <v>40</v>
      </c>
      <c r="AV147">
        <v>39</v>
      </c>
      <c r="AW147">
        <v>42</v>
      </c>
      <c r="AX147">
        <v>84</v>
      </c>
      <c r="AY147">
        <v>91</v>
      </c>
      <c r="AZ147">
        <v>50</v>
      </c>
      <c r="BA147">
        <v>102</v>
      </c>
      <c r="BB147">
        <v>91</v>
      </c>
      <c r="BC147">
        <v>200</v>
      </c>
      <c r="BD147">
        <v>204</v>
      </c>
      <c r="BE147">
        <v>44</v>
      </c>
      <c r="BF147">
        <v>24</v>
      </c>
      <c r="BG147">
        <v>180</v>
      </c>
      <c r="BH147">
        <v>170</v>
      </c>
      <c r="BI147">
        <v>20</v>
      </c>
      <c r="BJ147">
        <v>60</v>
      </c>
      <c r="BK147">
        <v>20</v>
      </c>
      <c r="BL147">
        <v>120</v>
      </c>
      <c r="BM147">
        <v>43</v>
      </c>
      <c r="BN147">
        <v>44</v>
      </c>
      <c r="BO147">
        <v>87</v>
      </c>
      <c r="BP147">
        <v>30</v>
      </c>
      <c r="BQ147">
        <v>100</v>
      </c>
      <c r="BR147">
        <v>50</v>
      </c>
      <c r="BS147">
        <v>55</v>
      </c>
      <c r="BU147" s="1">
        <f>AVERAGE(Table9[[#This Row],[1-Jan-21]:[1-Dec-25]])</f>
        <v>68.083333333333329</v>
      </c>
    </row>
    <row r="148" spans="1:73" x14ac:dyDescent="0.55000000000000004">
      <c r="A148">
        <v>147</v>
      </c>
      <c r="B148" t="s">
        <v>71</v>
      </c>
      <c r="C148" t="s">
        <v>72</v>
      </c>
      <c r="D148" t="s">
        <v>73</v>
      </c>
      <c r="E148" t="s">
        <v>265</v>
      </c>
      <c r="F148">
        <v>110004</v>
      </c>
      <c r="G148" t="s">
        <v>266</v>
      </c>
      <c r="H148" t="s">
        <v>76</v>
      </c>
      <c r="I148" t="s">
        <v>80</v>
      </c>
      <c r="J148">
        <v>37</v>
      </c>
      <c r="K148">
        <v>19</v>
      </c>
      <c r="L148">
        <v>4</v>
      </c>
      <c r="M148">
        <v>13</v>
      </c>
      <c r="N148">
        <v>0</v>
      </c>
      <c r="O148">
        <v>40</v>
      </c>
      <c r="P148">
        <v>0</v>
      </c>
      <c r="Q148">
        <v>5</v>
      </c>
      <c r="R148">
        <v>0</v>
      </c>
      <c r="S148">
        <v>10</v>
      </c>
      <c r="T148">
        <v>30</v>
      </c>
      <c r="U148">
        <v>5</v>
      </c>
      <c r="V148">
        <v>20</v>
      </c>
      <c r="W148">
        <v>5</v>
      </c>
      <c r="X148">
        <v>0</v>
      </c>
      <c r="Y148">
        <v>0</v>
      </c>
      <c r="Z148">
        <v>10</v>
      </c>
      <c r="AA148">
        <v>16</v>
      </c>
      <c r="AB148">
        <v>20</v>
      </c>
      <c r="AC148">
        <v>2</v>
      </c>
      <c r="AD148">
        <v>1</v>
      </c>
      <c r="AE148">
        <v>2</v>
      </c>
      <c r="AF148">
        <v>12</v>
      </c>
      <c r="AG148">
        <v>0</v>
      </c>
      <c r="AH148">
        <v>305</v>
      </c>
      <c r="AI148">
        <v>12</v>
      </c>
      <c r="AJ148">
        <v>0</v>
      </c>
      <c r="AK148">
        <v>8</v>
      </c>
      <c r="AL148">
        <v>0</v>
      </c>
      <c r="AM148">
        <v>0</v>
      </c>
      <c r="AN148">
        <v>10</v>
      </c>
      <c r="AO148">
        <v>4</v>
      </c>
      <c r="AP148">
        <v>11</v>
      </c>
      <c r="AQ148">
        <v>7</v>
      </c>
      <c r="AR148">
        <v>4</v>
      </c>
      <c r="AS148">
        <v>11</v>
      </c>
      <c r="AT148">
        <v>5</v>
      </c>
      <c r="AU148">
        <v>1</v>
      </c>
      <c r="AV148">
        <v>132</v>
      </c>
      <c r="AW148">
        <v>0</v>
      </c>
      <c r="AX148">
        <v>16</v>
      </c>
      <c r="AY148">
        <v>3</v>
      </c>
      <c r="AZ148">
        <v>10</v>
      </c>
      <c r="BA148">
        <v>4</v>
      </c>
      <c r="BB148">
        <v>9</v>
      </c>
      <c r="BC148">
        <v>0</v>
      </c>
      <c r="BD148">
        <v>11</v>
      </c>
      <c r="BE148">
        <v>54</v>
      </c>
      <c r="BF148">
        <v>7</v>
      </c>
      <c r="BG148">
        <v>5</v>
      </c>
      <c r="BH148">
        <v>12</v>
      </c>
      <c r="BI148">
        <v>132</v>
      </c>
      <c r="BJ148">
        <v>20</v>
      </c>
      <c r="BK148">
        <v>25</v>
      </c>
      <c r="BL148">
        <v>5</v>
      </c>
      <c r="BM148">
        <v>0</v>
      </c>
      <c r="BN148">
        <v>9</v>
      </c>
      <c r="BO148">
        <v>17</v>
      </c>
      <c r="BP148">
        <v>6</v>
      </c>
      <c r="BQ148">
        <v>4</v>
      </c>
      <c r="BR148">
        <v>3</v>
      </c>
      <c r="BS148">
        <v>48</v>
      </c>
      <c r="BU148" s="1">
        <f>AVERAGE(Table9[[#This Row],[1-Jan-21]:[1-Dec-25]])</f>
        <v>17.933333333333334</v>
      </c>
    </row>
    <row r="149" spans="1:73" x14ac:dyDescent="0.55000000000000004">
      <c r="A149">
        <v>148</v>
      </c>
      <c r="B149" t="s">
        <v>71</v>
      </c>
      <c r="C149" t="s">
        <v>72</v>
      </c>
      <c r="D149" t="s">
        <v>73</v>
      </c>
      <c r="E149" t="s">
        <v>87</v>
      </c>
      <c r="F149">
        <v>120392</v>
      </c>
      <c r="G149" t="s">
        <v>267</v>
      </c>
      <c r="H149" t="s">
        <v>76</v>
      </c>
      <c r="I149" t="s">
        <v>80</v>
      </c>
      <c r="J149">
        <v>4.63</v>
      </c>
      <c r="K149">
        <v>20</v>
      </c>
      <c r="L149">
        <v>95</v>
      </c>
      <c r="M149">
        <v>85</v>
      </c>
      <c r="N149">
        <v>75</v>
      </c>
      <c r="O149">
        <v>50</v>
      </c>
      <c r="P149">
        <v>130</v>
      </c>
      <c r="Q149">
        <v>70</v>
      </c>
      <c r="R149">
        <v>175</v>
      </c>
      <c r="S149">
        <v>70</v>
      </c>
      <c r="T149">
        <v>180</v>
      </c>
      <c r="U149">
        <v>195</v>
      </c>
      <c r="V149">
        <v>65</v>
      </c>
      <c r="W149">
        <v>50</v>
      </c>
      <c r="X149">
        <v>100</v>
      </c>
      <c r="Y149">
        <v>111</v>
      </c>
      <c r="Z149">
        <v>135</v>
      </c>
      <c r="AA149">
        <v>120</v>
      </c>
      <c r="AB149">
        <v>40</v>
      </c>
      <c r="AC149">
        <v>40</v>
      </c>
      <c r="AD149">
        <v>60</v>
      </c>
      <c r="AE149">
        <v>40</v>
      </c>
      <c r="AF149">
        <v>30</v>
      </c>
      <c r="AG149">
        <v>4</v>
      </c>
      <c r="AH149">
        <v>0</v>
      </c>
      <c r="AI149">
        <v>97</v>
      </c>
      <c r="AJ149">
        <v>0</v>
      </c>
      <c r="AK149">
        <v>119</v>
      </c>
      <c r="AL149">
        <v>0</v>
      </c>
      <c r="AM149">
        <v>20</v>
      </c>
      <c r="AN149">
        <v>0</v>
      </c>
      <c r="AO149">
        <v>42</v>
      </c>
      <c r="AP149">
        <v>52</v>
      </c>
      <c r="AQ149">
        <v>100</v>
      </c>
      <c r="AR149">
        <v>0</v>
      </c>
      <c r="AS149">
        <v>10</v>
      </c>
      <c r="AT149">
        <v>52</v>
      </c>
      <c r="AU149">
        <v>10</v>
      </c>
      <c r="AV149">
        <v>62</v>
      </c>
      <c r="AW149">
        <v>18</v>
      </c>
      <c r="AX149">
        <v>27</v>
      </c>
      <c r="AY149">
        <v>30</v>
      </c>
      <c r="AZ149">
        <v>0</v>
      </c>
      <c r="BA149">
        <v>18</v>
      </c>
      <c r="BB149">
        <v>0</v>
      </c>
      <c r="BC149">
        <v>78</v>
      </c>
      <c r="BD149">
        <v>67</v>
      </c>
      <c r="BE149">
        <v>130</v>
      </c>
      <c r="BF149">
        <v>20</v>
      </c>
      <c r="BG149">
        <v>44</v>
      </c>
      <c r="BH149">
        <v>63</v>
      </c>
      <c r="BI149">
        <v>50</v>
      </c>
      <c r="BJ149">
        <v>50</v>
      </c>
      <c r="BK149">
        <v>30</v>
      </c>
      <c r="BL149">
        <v>40</v>
      </c>
      <c r="BM149">
        <v>80</v>
      </c>
      <c r="BN149">
        <v>52</v>
      </c>
      <c r="BO149">
        <v>60</v>
      </c>
      <c r="BP149">
        <v>35</v>
      </c>
      <c r="BQ149">
        <v>70</v>
      </c>
      <c r="BR149">
        <v>20</v>
      </c>
      <c r="BS149">
        <v>53</v>
      </c>
      <c r="BU149" s="1">
        <f>AVERAGE(Table9[[#This Row],[1-Jan-21]:[1-Dec-25]])</f>
        <v>58.1</v>
      </c>
    </row>
    <row r="150" spans="1:73" x14ac:dyDescent="0.55000000000000004">
      <c r="A150">
        <v>149</v>
      </c>
      <c r="B150" t="s">
        <v>71</v>
      </c>
      <c r="C150" t="s">
        <v>72</v>
      </c>
      <c r="D150" t="s">
        <v>73</v>
      </c>
      <c r="E150" t="s">
        <v>99</v>
      </c>
      <c r="F150">
        <v>108127</v>
      </c>
      <c r="G150" t="s">
        <v>268</v>
      </c>
      <c r="H150" t="s">
        <v>76</v>
      </c>
      <c r="I150" t="s">
        <v>80</v>
      </c>
      <c r="J150">
        <v>753.9</v>
      </c>
      <c r="K150">
        <v>11</v>
      </c>
      <c r="L150">
        <v>3</v>
      </c>
      <c r="M150">
        <v>13</v>
      </c>
      <c r="N150">
        <v>12</v>
      </c>
      <c r="O150">
        <v>2</v>
      </c>
      <c r="P150">
        <v>2</v>
      </c>
      <c r="Q150">
        <v>4</v>
      </c>
      <c r="R150">
        <v>3</v>
      </c>
      <c r="S150">
        <v>5</v>
      </c>
      <c r="T150">
        <v>1</v>
      </c>
      <c r="U150">
        <v>4</v>
      </c>
      <c r="V150">
        <v>4</v>
      </c>
      <c r="W150">
        <v>7</v>
      </c>
      <c r="X150">
        <v>6</v>
      </c>
      <c r="Y150">
        <v>1</v>
      </c>
      <c r="Z150">
        <v>1</v>
      </c>
      <c r="AA150">
        <v>8</v>
      </c>
      <c r="AB150">
        <v>4</v>
      </c>
      <c r="AC150">
        <v>4</v>
      </c>
      <c r="AD150">
        <v>2</v>
      </c>
      <c r="AE150">
        <v>1</v>
      </c>
      <c r="AF150">
        <v>7</v>
      </c>
      <c r="AG150">
        <v>0</v>
      </c>
      <c r="AH150">
        <v>2</v>
      </c>
      <c r="AI150">
        <v>2</v>
      </c>
      <c r="AJ150">
        <v>5</v>
      </c>
      <c r="AK150">
        <v>1</v>
      </c>
      <c r="AL150">
        <v>11</v>
      </c>
      <c r="AM150">
        <v>5</v>
      </c>
      <c r="AN150">
        <v>7</v>
      </c>
      <c r="AO150">
        <v>0</v>
      </c>
      <c r="AP150">
        <v>53</v>
      </c>
      <c r="AQ150">
        <v>1</v>
      </c>
      <c r="AR150">
        <v>1</v>
      </c>
      <c r="AS150">
        <v>0</v>
      </c>
      <c r="AT150">
        <v>14</v>
      </c>
      <c r="AU150">
        <v>5</v>
      </c>
      <c r="AV150">
        <v>1</v>
      </c>
      <c r="AW150">
        <v>7</v>
      </c>
      <c r="AX150">
        <v>10</v>
      </c>
      <c r="AY150">
        <v>3</v>
      </c>
      <c r="AZ150">
        <v>21</v>
      </c>
      <c r="BA150">
        <v>4</v>
      </c>
      <c r="BB150">
        <v>2</v>
      </c>
      <c r="BC150">
        <v>5</v>
      </c>
      <c r="BD150">
        <v>10</v>
      </c>
      <c r="BE150">
        <v>7</v>
      </c>
      <c r="BF150">
        <v>16</v>
      </c>
      <c r="BG150">
        <v>1</v>
      </c>
      <c r="BH150">
        <v>7</v>
      </c>
      <c r="BI150">
        <v>2</v>
      </c>
      <c r="BJ150">
        <v>11</v>
      </c>
      <c r="BK150">
        <v>6</v>
      </c>
      <c r="BL150">
        <v>10</v>
      </c>
      <c r="BM150">
        <v>6</v>
      </c>
      <c r="BN150">
        <v>2</v>
      </c>
      <c r="BO150">
        <v>2</v>
      </c>
      <c r="BP150">
        <v>3</v>
      </c>
      <c r="BQ150">
        <v>1</v>
      </c>
      <c r="BR150">
        <v>5</v>
      </c>
      <c r="BS150">
        <v>57</v>
      </c>
      <c r="BU150" s="1">
        <f>AVERAGE(Table9[[#This Row],[1-Jan-21]:[1-Dec-25]])</f>
        <v>5.9</v>
      </c>
    </row>
    <row r="151" spans="1:73" x14ac:dyDescent="0.55000000000000004">
      <c r="A151">
        <v>150</v>
      </c>
      <c r="B151" t="s">
        <v>71</v>
      </c>
      <c r="C151" t="s">
        <v>72</v>
      </c>
      <c r="D151" t="s">
        <v>73</v>
      </c>
      <c r="E151" t="s">
        <v>99</v>
      </c>
      <c r="F151">
        <v>108133</v>
      </c>
      <c r="G151" t="s">
        <v>269</v>
      </c>
      <c r="H151" t="s">
        <v>76</v>
      </c>
      <c r="I151" t="s">
        <v>80</v>
      </c>
      <c r="J151">
        <v>391.51</v>
      </c>
      <c r="K151">
        <v>14</v>
      </c>
      <c r="L151">
        <v>5</v>
      </c>
      <c r="M151">
        <v>6</v>
      </c>
      <c r="N151">
        <v>4</v>
      </c>
      <c r="O151">
        <v>9</v>
      </c>
      <c r="P151">
        <v>13</v>
      </c>
      <c r="Q151">
        <v>7</v>
      </c>
      <c r="R151">
        <v>17</v>
      </c>
      <c r="S151">
        <v>10</v>
      </c>
      <c r="T151">
        <v>14</v>
      </c>
      <c r="U151">
        <v>26</v>
      </c>
      <c r="V151">
        <v>8</v>
      </c>
      <c r="W151">
        <v>14</v>
      </c>
      <c r="X151">
        <v>17</v>
      </c>
      <c r="Y151">
        <v>10</v>
      </c>
      <c r="Z151">
        <v>9</v>
      </c>
      <c r="AA151">
        <v>17</v>
      </c>
      <c r="AB151">
        <v>1</v>
      </c>
      <c r="AC151">
        <v>8</v>
      </c>
      <c r="AD151">
        <v>0</v>
      </c>
      <c r="AE151">
        <v>6</v>
      </c>
      <c r="AF151">
        <v>19</v>
      </c>
      <c r="AG151">
        <v>9</v>
      </c>
      <c r="AH151">
        <v>9</v>
      </c>
      <c r="AI151">
        <v>8</v>
      </c>
      <c r="AJ151">
        <v>4</v>
      </c>
      <c r="AK151">
        <v>4</v>
      </c>
      <c r="AL151">
        <v>4</v>
      </c>
      <c r="AM151">
        <v>10</v>
      </c>
      <c r="AN151">
        <v>3</v>
      </c>
      <c r="AO151">
        <v>8</v>
      </c>
      <c r="AP151">
        <v>0</v>
      </c>
      <c r="AQ151">
        <v>3</v>
      </c>
      <c r="AR151">
        <v>18</v>
      </c>
      <c r="AS151">
        <v>2</v>
      </c>
      <c r="AT151">
        <v>11</v>
      </c>
      <c r="AU151">
        <v>29</v>
      </c>
      <c r="AV151">
        <v>12</v>
      </c>
      <c r="AW151">
        <v>20</v>
      </c>
      <c r="AX151">
        <v>14</v>
      </c>
      <c r="AY151">
        <v>30</v>
      </c>
      <c r="AZ151">
        <v>8</v>
      </c>
      <c r="BA151">
        <v>5</v>
      </c>
      <c r="BB151">
        <v>0</v>
      </c>
      <c r="BC151">
        <v>3</v>
      </c>
      <c r="BD151">
        <v>7</v>
      </c>
      <c r="BE151">
        <v>9</v>
      </c>
      <c r="BF151">
        <v>6</v>
      </c>
      <c r="BG151">
        <v>5</v>
      </c>
      <c r="BH151">
        <v>8</v>
      </c>
      <c r="BI151">
        <v>8</v>
      </c>
      <c r="BJ151">
        <v>6</v>
      </c>
      <c r="BK151">
        <v>3</v>
      </c>
      <c r="BL151">
        <v>0</v>
      </c>
      <c r="BM151">
        <v>8</v>
      </c>
      <c r="BN151">
        <v>12</v>
      </c>
      <c r="BO151">
        <v>10</v>
      </c>
      <c r="BP151">
        <v>5</v>
      </c>
      <c r="BQ151">
        <v>10</v>
      </c>
      <c r="BR151">
        <v>2</v>
      </c>
      <c r="BS151">
        <v>56</v>
      </c>
      <c r="BU151" s="1">
        <f>AVERAGE(Table9[[#This Row],[1-Jan-21]:[1-Dec-25]])</f>
        <v>9.1166666666666671</v>
      </c>
    </row>
    <row r="152" spans="1:73" x14ac:dyDescent="0.55000000000000004">
      <c r="A152">
        <v>151</v>
      </c>
      <c r="B152" t="s">
        <v>71</v>
      </c>
      <c r="C152" t="s">
        <v>72</v>
      </c>
      <c r="D152" t="s">
        <v>73</v>
      </c>
      <c r="E152" t="s">
        <v>99</v>
      </c>
      <c r="F152">
        <v>108110</v>
      </c>
      <c r="G152" t="s">
        <v>270</v>
      </c>
      <c r="H152" t="s">
        <v>76</v>
      </c>
      <c r="I152" t="s">
        <v>80</v>
      </c>
      <c r="J152">
        <v>612.66999999999996</v>
      </c>
      <c r="K152">
        <v>13</v>
      </c>
      <c r="L152">
        <v>3</v>
      </c>
      <c r="M152">
        <v>0</v>
      </c>
      <c r="N152">
        <v>10</v>
      </c>
      <c r="O152">
        <v>5</v>
      </c>
      <c r="P152">
        <v>2</v>
      </c>
      <c r="Q152">
        <v>5</v>
      </c>
      <c r="R152">
        <v>5</v>
      </c>
      <c r="S152">
        <v>0</v>
      </c>
      <c r="T152">
        <v>2</v>
      </c>
      <c r="U152">
        <v>7</v>
      </c>
      <c r="V152">
        <v>2</v>
      </c>
      <c r="W152">
        <v>7</v>
      </c>
      <c r="X152">
        <v>2</v>
      </c>
      <c r="Y152">
        <v>1</v>
      </c>
      <c r="Z152">
        <v>2</v>
      </c>
      <c r="AA152">
        <v>0</v>
      </c>
      <c r="AB152">
        <v>1</v>
      </c>
      <c r="AC152">
        <v>2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2</v>
      </c>
      <c r="AK152">
        <v>2</v>
      </c>
      <c r="AL152">
        <v>0</v>
      </c>
      <c r="AM152">
        <v>0</v>
      </c>
      <c r="AN152">
        <v>1</v>
      </c>
      <c r="AO152">
        <v>1</v>
      </c>
      <c r="AP152">
        <v>2</v>
      </c>
      <c r="AQ152">
        <v>0</v>
      </c>
      <c r="AR152">
        <v>1</v>
      </c>
      <c r="AS152">
        <v>3</v>
      </c>
      <c r="AT152">
        <v>2</v>
      </c>
      <c r="AU152">
        <v>3</v>
      </c>
      <c r="AV152">
        <v>4</v>
      </c>
      <c r="AW152">
        <v>3</v>
      </c>
      <c r="AX152">
        <v>3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5</v>
      </c>
      <c r="BG152">
        <v>4</v>
      </c>
      <c r="BH152">
        <v>4</v>
      </c>
      <c r="BI152">
        <v>0</v>
      </c>
      <c r="BJ152">
        <v>2</v>
      </c>
      <c r="BK152">
        <v>0</v>
      </c>
      <c r="BL152">
        <v>0</v>
      </c>
      <c r="BM152">
        <v>2</v>
      </c>
      <c r="BN152">
        <v>4</v>
      </c>
      <c r="BO152">
        <v>3</v>
      </c>
      <c r="BP152">
        <v>4</v>
      </c>
      <c r="BQ152">
        <v>0</v>
      </c>
      <c r="BR152">
        <v>6</v>
      </c>
      <c r="BS152">
        <v>41</v>
      </c>
      <c r="BU152" s="1">
        <f>AVERAGE(Table9[[#This Row],[1-Jan-21]:[1-Dec-25]])</f>
        <v>2.25</v>
      </c>
    </row>
    <row r="153" spans="1:73" x14ac:dyDescent="0.55000000000000004">
      <c r="A153">
        <v>152</v>
      </c>
      <c r="B153" t="s">
        <v>71</v>
      </c>
      <c r="C153" t="s">
        <v>72</v>
      </c>
      <c r="D153" t="s">
        <v>73</v>
      </c>
      <c r="E153" t="s">
        <v>134</v>
      </c>
      <c r="F153">
        <v>108426</v>
      </c>
      <c r="G153" t="s">
        <v>271</v>
      </c>
      <c r="H153" t="s">
        <v>76</v>
      </c>
      <c r="I153" t="s">
        <v>80</v>
      </c>
      <c r="J153">
        <v>202.99</v>
      </c>
      <c r="K153">
        <v>7</v>
      </c>
      <c r="L153">
        <v>1</v>
      </c>
      <c r="M153">
        <v>9</v>
      </c>
      <c r="N153">
        <v>13</v>
      </c>
      <c r="O153">
        <v>12</v>
      </c>
      <c r="P153">
        <v>5</v>
      </c>
      <c r="Q153">
        <v>8</v>
      </c>
      <c r="R153">
        <v>4</v>
      </c>
      <c r="S153">
        <v>12</v>
      </c>
      <c r="T153">
        <v>8</v>
      </c>
      <c r="U153">
        <v>1</v>
      </c>
      <c r="V153">
        <v>4</v>
      </c>
      <c r="W153">
        <v>5</v>
      </c>
      <c r="X153">
        <v>9</v>
      </c>
      <c r="Y153">
        <v>8</v>
      </c>
      <c r="Z153">
        <v>35</v>
      </c>
      <c r="AA153">
        <v>15</v>
      </c>
      <c r="AB153">
        <v>0</v>
      </c>
      <c r="AC153">
        <v>1</v>
      </c>
      <c r="AD153">
        <v>16</v>
      </c>
      <c r="AE153">
        <v>13</v>
      </c>
      <c r="AF153">
        <v>24</v>
      </c>
      <c r="AG153">
        <v>9</v>
      </c>
      <c r="AH153">
        <v>19</v>
      </c>
      <c r="AI153">
        <v>28</v>
      </c>
      <c r="AJ153">
        <v>13</v>
      </c>
      <c r="AK153">
        <v>17</v>
      </c>
      <c r="AL153">
        <v>18</v>
      </c>
      <c r="AM153">
        <v>15</v>
      </c>
      <c r="AN153">
        <v>11</v>
      </c>
      <c r="AO153">
        <v>37</v>
      </c>
      <c r="AP153">
        <v>18</v>
      </c>
      <c r="AQ153">
        <v>26</v>
      </c>
      <c r="AR153">
        <v>25</v>
      </c>
      <c r="AS153">
        <v>27</v>
      </c>
      <c r="AT153">
        <v>25</v>
      </c>
      <c r="AU153">
        <v>16</v>
      </c>
      <c r="AV153">
        <v>33</v>
      </c>
      <c r="AW153">
        <v>22</v>
      </c>
      <c r="AX153">
        <v>31</v>
      </c>
      <c r="AY153">
        <v>20</v>
      </c>
      <c r="AZ153">
        <v>13</v>
      </c>
      <c r="BA153">
        <v>21</v>
      </c>
      <c r="BB153">
        <v>18</v>
      </c>
      <c r="BC153">
        <v>5</v>
      </c>
      <c r="BD153">
        <v>13</v>
      </c>
      <c r="BE153">
        <v>11</v>
      </c>
      <c r="BF153">
        <v>17</v>
      </c>
      <c r="BG153">
        <v>13</v>
      </c>
      <c r="BH153">
        <v>19</v>
      </c>
      <c r="BI153">
        <v>12</v>
      </c>
      <c r="BJ153">
        <v>10</v>
      </c>
      <c r="BK153">
        <v>22</v>
      </c>
      <c r="BL153">
        <v>7</v>
      </c>
      <c r="BM153">
        <v>6</v>
      </c>
      <c r="BN153">
        <v>5</v>
      </c>
      <c r="BO153">
        <v>5</v>
      </c>
      <c r="BP153">
        <v>18</v>
      </c>
      <c r="BQ153">
        <v>12</v>
      </c>
      <c r="BR153">
        <v>12</v>
      </c>
      <c r="BS153">
        <v>59</v>
      </c>
      <c r="BU153" s="1">
        <f>AVERAGE(Table9[[#This Row],[1-Jan-21]:[1-Dec-25]])</f>
        <v>14.316666666666666</v>
      </c>
    </row>
    <row r="154" spans="1:73" x14ac:dyDescent="0.55000000000000004">
      <c r="A154">
        <v>153</v>
      </c>
      <c r="B154" t="s">
        <v>71</v>
      </c>
      <c r="C154" t="s">
        <v>72</v>
      </c>
      <c r="D154" t="s">
        <v>73</v>
      </c>
      <c r="E154" t="s">
        <v>103</v>
      </c>
      <c r="F154">
        <v>110638</v>
      </c>
      <c r="G154" t="s">
        <v>272</v>
      </c>
      <c r="H154" t="s">
        <v>76</v>
      </c>
      <c r="I154" t="s">
        <v>105</v>
      </c>
      <c r="J154">
        <v>156.30000000000001</v>
      </c>
      <c r="K154">
        <v>186</v>
      </c>
      <c r="L154">
        <v>69</v>
      </c>
      <c r="M154">
        <v>92</v>
      </c>
      <c r="N154">
        <v>92</v>
      </c>
      <c r="O154">
        <v>167</v>
      </c>
      <c r="P154">
        <v>297</v>
      </c>
      <c r="Q154">
        <v>21</v>
      </c>
      <c r="R154">
        <v>330</v>
      </c>
      <c r="S154">
        <v>53</v>
      </c>
      <c r="T154">
        <v>288</v>
      </c>
      <c r="U154">
        <v>50</v>
      </c>
      <c r="V154">
        <v>40</v>
      </c>
      <c r="W154">
        <v>86</v>
      </c>
      <c r="X154">
        <v>190</v>
      </c>
      <c r="Y154">
        <v>215</v>
      </c>
      <c r="Z154">
        <v>175</v>
      </c>
      <c r="AA154">
        <v>67</v>
      </c>
      <c r="AB154">
        <v>90</v>
      </c>
      <c r="AC154">
        <v>17</v>
      </c>
      <c r="AD154">
        <v>27</v>
      </c>
      <c r="AE154">
        <v>60</v>
      </c>
      <c r="AF154">
        <v>46</v>
      </c>
      <c r="AG154">
        <v>62</v>
      </c>
      <c r="AH154">
        <v>29.5</v>
      </c>
      <c r="AI154">
        <v>98.5</v>
      </c>
      <c r="AJ154">
        <v>63</v>
      </c>
      <c r="AK154">
        <v>39</v>
      </c>
      <c r="AL154">
        <v>10</v>
      </c>
      <c r="AM154">
        <v>74.5</v>
      </c>
      <c r="AN154">
        <v>68.5</v>
      </c>
      <c r="AO154">
        <v>63.5</v>
      </c>
      <c r="AP154">
        <v>52</v>
      </c>
      <c r="AQ154">
        <v>1</v>
      </c>
      <c r="AR154">
        <v>87</v>
      </c>
      <c r="AS154">
        <v>0</v>
      </c>
      <c r="AT154">
        <v>89.5</v>
      </c>
      <c r="AU154">
        <v>145</v>
      </c>
      <c r="AV154">
        <v>42</v>
      </c>
      <c r="AW154">
        <v>97</v>
      </c>
      <c r="AX154">
        <v>3</v>
      </c>
      <c r="AY154">
        <v>90.2</v>
      </c>
      <c r="AZ154">
        <v>102</v>
      </c>
      <c r="BA154">
        <v>35</v>
      </c>
      <c r="BB154">
        <v>32</v>
      </c>
      <c r="BC154">
        <v>178.5</v>
      </c>
      <c r="BD154">
        <v>24</v>
      </c>
      <c r="BE154">
        <v>121</v>
      </c>
      <c r="BF154">
        <v>57</v>
      </c>
      <c r="BG154">
        <v>6</v>
      </c>
      <c r="BH154">
        <v>139</v>
      </c>
      <c r="BI154">
        <v>55</v>
      </c>
      <c r="BJ154">
        <v>183.3</v>
      </c>
      <c r="BK154">
        <v>6</v>
      </c>
      <c r="BL154">
        <v>83</v>
      </c>
      <c r="BM154">
        <v>81</v>
      </c>
      <c r="BN154">
        <v>36</v>
      </c>
      <c r="BO154">
        <v>55</v>
      </c>
      <c r="BP154">
        <v>161</v>
      </c>
      <c r="BQ154">
        <v>150</v>
      </c>
      <c r="BR154">
        <v>80</v>
      </c>
      <c r="BS154">
        <v>59</v>
      </c>
      <c r="BU154" s="1">
        <f>AVERAGE(Table9[[#This Row],[1-Jan-21]:[1-Dec-25]])</f>
        <v>89.3</v>
      </c>
    </row>
    <row r="155" spans="1:73" x14ac:dyDescent="0.55000000000000004">
      <c r="A155">
        <v>154</v>
      </c>
      <c r="B155" t="s">
        <v>71</v>
      </c>
      <c r="C155" t="s">
        <v>72</v>
      </c>
      <c r="D155" t="s">
        <v>73</v>
      </c>
      <c r="E155" t="s">
        <v>99</v>
      </c>
      <c r="F155">
        <v>120648</v>
      </c>
      <c r="G155" t="s">
        <v>273</v>
      </c>
      <c r="H155" t="s">
        <v>76</v>
      </c>
      <c r="I155" t="s">
        <v>80</v>
      </c>
      <c r="J155">
        <v>159.44999999999999</v>
      </c>
      <c r="K155">
        <v>14</v>
      </c>
      <c r="L155">
        <v>10</v>
      </c>
      <c r="M155">
        <v>7</v>
      </c>
      <c r="N155">
        <v>30</v>
      </c>
      <c r="O155">
        <v>81</v>
      </c>
      <c r="P155">
        <v>28</v>
      </c>
      <c r="Q155">
        <v>21</v>
      </c>
      <c r="R155">
        <v>8</v>
      </c>
      <c r="S155">
        <v>60</v>
      </c>
      <c r="T155">
        <v>39</v>
      </c>
      <c r="U155">
        <v>67</v>
      </c>
      <c r="V155">
        <v>37</v>
      </c>
      <c r="W155">
        <v>27</v>
      </c>
      <c r="X155">
        <v>16</v>
      </c>
      <c r="Y155">
        <v>22</v>
      </c>
      <c r="Z155">
        <v>27</v>
      </c>
      <c r="AA155">
        <v>11</v>
      </c>
      <c r="AB155">
        <v>85</v>
      </c>
      <c r="AC155">
        <v>0</v>
      </c>
      <c r="AD155">
        <v>0</v>
      </c>
      <c r="AE155">
        <v>34</v>
      </c>
      <c r="AF155">
        <v>114</v>
      </c>
      <c r="AG155">
        <v>35</v>
      </c>
      <c r="AH155">
        <v>48</v>
      </c>
      <c r="AI155">
        <v>29</v>
      </c>
      <c r="AJ155">
        <v>18</v>
      </c>
      <c r="AK155">
        <v>35</v>
      </c>
      <c r="AL155">
        <v>27</v>
      </c>
      <c r="AM155">
        <v>52</v>
      </c>
      <c r="AN155">
        <v>81</v>
      </c>
      <c r="AO155">
        <v>731</v>
      </c>
      <c r="AP155">
        <v>20</v>
      </c>
      <c r="AQ155">
        <v>7</v>
      </c>
      <c r="AR155">
        <v>106</v>
      </c>
      <c r="AS155">
        <v>38</v>
      </c>
      <c r="AT155">
        <v>87</v>
      </c>
      <c r="AU155">
        <v>153</v>
      </c>
      <c r="AV155">
        <v>198</v>
      </c>
      <c r="AW155">
        <v>45</v>
      </c>
      <c r="AX155">
        <v>65</v>
      </c>
      <c r="AY155">
        <v>72</v>
      </c>
      <c r="AZ155">
        <v>109</v>
      </c>
      <c r="BA155">
        <v>166</v>
      </c>
      <c r="BB155">
        <v>97</v>
      </c>
      <c r="BC155">
        <v>40</v>
      </c>
      <c r="BD155">
        <v>210</v>
      </c>
      <c r="BE155">
        <v>63</v>
      </c>
      <c r="BF155">
        <v>27</v>
      </c>
      <c r="BG155">
        <v>49</v>
      </c>
      <c r="BH155">
        <v>19</v>
      </c>
      <c r="BI155">
        <v>51</v>
      </c>
      <c r="BJ155">
        <v>4</v>
      </c>
      <c r="BK155">
        <v>53</v>
      </c>
      <c r="BL155">
        <v>0</v>
      </c>
      <c r="BM155">
        <v>13</v>
      </c>
      <c r="BN155">
        <v>92</v>
      </c>
      <c r="BO155">
        <v>10</v>
      </c>
      <c r="BP155">
        <v>42</v>
      </c>
      <c r="BQ155">
        <v>7</v>
      </c>
      <c r="BR155">
        <v>35</v>
      </c>
      <c r="BS155">
        <v>57</v>
      </c>
      <c r="BU155" s="1">
        <f>AVERAGE(Table9[[#This Row],[1-Jan-21]:[1-Dec-25]])</f>
        <v>61.2</v>
      </c>
    </row>
    <row r="156" spans="1:73" x14ac:dyDescent="0.55000000000000004">
      <c r="A156">
        <v>155</v>
      </c>
      <c r="B156" t="s">
        <v>71</v>
      </c>
      <c r="C156" t="s">
        <v>72</v>
      </c>
      <c r="D156" t="s">
        <v>73</v>
      </c>
      <c r="E156" t="s">
        <v>99</v>
      </c>
      <c r="F156">
        <v>120592</v>
      </c>
      <c r="G156" t="s">
        <v>274</v>
      </c>
      <c r="H156" t="s">
        <v>76</v>
      </c>
      <c r="I156" t="s">
        <v>80</v>
      </c>
      <c r="J156">
        <v>684.14</v>
      </c>
      <c r="K156">
        <v>3</v>
      </c>
      <c r="L156">
        <v>1</v>
      </c>
      <c r="M156">
        <v>6</v>
      </c>
      <c r="N156">
        <v>3</v>
      </c>
      <c r="O156">
        <v>5</v>
      </c>
      <c r="P156">
        <v>6</v>
      </c>
      <c r="Q156">
        <v>11</v>
      </c>
      <c r="R156">
        <v>6</v>
      </c>
      <c r="S156">
        <v>5</v>
      </c>
      <c r="T156">
        <v>2</v>
      </c>
      <c r="U156">
        <v>6</v>
      </c>
      <c r="V156">
        <v>5</v>
      </c>
      <c r="W156">
        <v>1</v>
      </c>
      <c r="X156">
        <v>3</v>
      </c>
      <c r="Y156">
        <v>0</v>
      </c>
      <c r="Z156">
        <v>7</v>
      </c>
      <c r="AA156">
        <v>6</v>
      </c>
      <c r="AB156">
        <v>5</v>
      </c>
      <c r="AC156">
        <v>3</v>
      </c>
      <c r="AD156">
        <v>1</v>
      </c>
      <c r="AE156">
        <v>6</v>
      </c>
      <c r="AF156">
        <v>2</v>
      </c>
      <c r="AG156">
        <v>4</v>
      </c>
      <c r="AH156">
        <v>4</v>
      </c>
      <c r="AI156">
        <v>5</v>
      </c>
      <c r="AJ156">
        <v>5</v>
      </c>
      <c r="AK156">
        <v>2</v>
      </c>
      <c r="AL156">
        <v>0</v>
      </c>
      <c r="AM156">
        <v>4</v>
      </c>
      <c r="AN156">
        <v>2</v>
      </c>
      <c r="AO156">
        <v>3</v>
      </c>
      <c r="AP156">
        <v>2</v>
      </c>
      <c r="AQ156">
        <v>6</v>
      </c>
      <c r="AR156">
        <v>3</v>
      </c>
      <c r="AS156">
        <v>2</v>
      </c>
      <c r="AT156">
        <v>3</v>
      </c>
      <c r="AU156">
        <v>5</v>
      </c>
      <c r="AV156">
        <v>5</v>
      </c>
      <c r="AW156">
        <v>2</v>
      </c>
      <c r="AX156">
        <v>2</v>
      </c>
      <c r="AY156">
        <v>4</v>
      </c>
      <c r="AZ156">
        <v>1</v>
      </c>
      <c r="BA156">
        <v>12</v>
      </c>
      <c r="BB156">
        <v>3</v>
      </c>
      <c r="BC156">
        <v>0</v>
      </c>
      <c r="BD156">
        <v>6</v>
      </c>
      <c r="BE156">
        <v>4</v>
      </c>
      <c r="BF156">
        <v>4</v>
      </c>
      <c r="BG156">
        <v>7</v>
      </c>
      <c r="BH156">
        <v>8</v>
      </c>
      <c r="BI156">
        <v>3</v>
      </c>
      <c r="BJ156">
        <v>3</v>
      </c>
      <c r="BK156">
        <v>6</v>
      </c>
      <c r="BL156">
        <v>2</v>
      </c>
      <c r="BM156">
        <v>7</v>
      </c>
      <c r="BN156">
        <v>5</v>
      </c>
      <c r="BO156">
        <v>2</v>
      </c>
      <c r="BP156">
        <v>6</v>
      </c>
      <c r="BQ156">
        <v>3</v>
      </c>
      <c r="BR156">
        <v>9</v>
      </c>
      <c r="BS156">
        <v>57</v>
      </c>
      <c r="BU156" s="1">
        <f>AVERAGE(Table9[[#This Row],[1-Jan-21]:[1-Dec-25]])</f>
        <v>4.1166666666666663</v>
      </c>
    </row>
    <row r="157" spans="1:73" x14ac:dyDescent="0.55000000000000004">
      <c r="A157">
        <v>156</v>
      </c>
      <c r="B157" t="s">
        <v>71</v>
      </c>
      <c r="C157" t="s">
        <v>72</v>
      </c>
      <c r="D157" t="s">
        <v>73</v>
      </c>
      <c r="E157" t="s">
        <v>134</v>
      </c>
      <c r="F157">
        <v>108359</v>
      </c>
      <c r="G157" t="s">
        <v>275</v>
      </c>
      <c r="H157" t="s">
        <v>76</v>
      </c>
      <c r="I157" t="s">
        <v>80</v>
      </c>
      <c r="J157">
        <v>414.07</v>
      </c>
      <c r="K157">
        <v>3</v>
      </c>
      <c r="L157">
        <v>2</v>
      </c>
      <c r="M157">
        <v>0</v>
      </c>
      <c r="N157">
        <v>4</v>
      </c>
      <c r="O157">
        <v>2</v>
      </c>
      <c r="P157">
        <v>14</v>
      </c>
      <c r="Q157">
        <v>1</v>
      </c>
      <c r="R157">
        <v>2</v>
      </c>
      <c r="S157">
        <v>4</v>
      </c>
      <c r="T157">
        <v>10</v>
      </c>
      <c r="U157">
        <v>7</v>
      </c>
      <c r="V157">
        <v>0</v>
      </c>
      <c r="W157">
        <v>4</v>
      </c>
      <c r="X157">
        <v>2</v>
      </c>
      <c r="Y157">
        <v>4</v>
      </c>
      <c r="Z157">
        <v>7</v>
      </c>
      <c r="AA157">
        <v>5</v>
      </c>
      <c r="AB157">
        <v>2</v>
      </c>
      <c r="AC157">
        <v>2</v>
      </c>
      <c r="AD157">
        <v>4</v>
      </c>
      <c r="AE157">
        <v>0</v>
      </c>
      <c r="AF157">
        <v>7</v>
      </c>
      <c r="AG157">
        <v>0</v>
      </c>
      <c r="AH157">
        <v>6</v>
      </c>
      <c r="AI157">
        <v>1</v>
      </c>
      <c r="AJ157">
        <v>2</v>
      </c>
      <c r="AK157">
        <v>0</v>
      </c>
      <c r="AL157">
        <v>0</v>
      </c>
      <c r="AM157">
        <v>0</v>
      </c>
      <c r="AN157">
        <v>0</v>
      </c>
      <c r="AO157">
        <v>4</v>
      </c>
      <c r="AP157">
        <v>0</v>
      </c>
      <c r="AQ157">
        <v>2</v>
      </c>
      <c r="AR157">
        <v>1</v>
      </c>
      <c r="AS157">
        <v>1</v>
      </c>
      <c r="AT157">
        <v>0</v>
      </c>
      <c r="AU157">
        <v>0</v>
      </c>
      <c r="AV157">
        <v>2</v>
      </c>
      <c r="AW157">
        <v>2</v>
      </c>
      <c r="AX157">
        <v>0</v>
      </c>
      <c r="AY157">
        <v>0</v>
      </c>
      <c r="AZ157">
        <v>1</v>
      </c>
      <c r="BA157">
        <v>2</v>
      </c>
      <c r="BB157">
        <v>5</v>
      </c>
      <c r="BC157">
        <v>4</v>
      </c>
      <c r="BD157">
        <v>10</v>
      </c>
      <c r="BE157">
        <v>10</v>
      </c>
      <c r="BF157">
        <v>2</v>
      </c>
      <c r="BG157">
        <v>0</v>
      </c>
      <c r="BH157">
        <v>2</v>
      </c>
      <c r="BI157">
        <v>0</v>
      </c>
      <c r="BJ157">
        <v>0</v>
      </c>
      <c r="BK157">
        <v>0</v>
      </c>
      <c r="BL157">
        <v>0</v>
      </c>
      <c r="BM157">
        <v>3</v>
      </c>
      <c r="BN157">
        <v>2</v>
      </c>
      <c r="BO157">
        <v>1</v>
      </c>
      <c r="BP157">
        <v>3</v>
      </c>
      <c r="BQ157">
        <v>0</v>
      </c>
      <c r="BR157">
        <v>3</v>
      </c>
      <c r="BS157">
        <v>41</v>
      </c>
      <c r="BU157" s="1">
        <f>AVERAGE(Table9[[#This Row],[1-Jan-21]:[1-Dec-25]])</f>
        <v>2.5833333333333335</v>
      </c>
    </row>
    <row r="158" spans="1:73" x14ac:dyDescent="0.55000000000000004">
      <c r="A158">
        <v>157</v>
      </c>
      <c r="B158" t="s">
        <v>71</v>
      </c>
      <c r="C158" t="s">
        <v>72</v>
      </c>
      <c r="D158" t="s">
        <v>73</v>
      </c>
      <c r="E158" t="s">
        <v>107</v>
      </c>
      <c r="F158">
        <v>137478</v>
      </c>
      <c r="G158" t="s">
        <v>276</v>
      </c>
      <c r="H158" t="s">
        <v>76</v>
      </c>
      <c r="I158" t="s">
        <v>80</v>
      </c>
      <c r="J158">
        <v>418.19</v>
      </c>
      <c r="K158">
        <v>0</v>
      </c>
      <c r="L158">
        <v>6</v>
      </c>
      <c r="M158">
        <v>4</v>
      </c>
      <c r="N158">
        <v>0</v>
      </c>
      <c r="O158">
        <v>0</v>
      </c>
      <c r="P158">
        <v>7</v>
      </c>
      <c r="Q158">
        <v>4</v>
      </c>
      <c r="R158">
        <v>0</v>
      </c>
      <c r="S158">
        <v>6</v>
      </c>
      <c r="T158">
        <v>2</v>
      </c>
      <c r="U158">
        <v>8</v>
      </c>
      <c r="V158">
        <v>0</v>
      </c>
      <c r="W158">
        <v>4</v>
      </c>
      <c r="X158">
        <v>18</v>
      </c>
      <c r="Y158">
        <v>18</v>
      </c>
      <c r="Z158">
        <v>14</v>
      </c>
      <c r="AA158">
        <v>4</v>
      </c>
      <c r="AB158">
        <v>14</v>
      </c>
      <c r="AC158">
        <v>7</v>
      </c>
      <c r="AD158">
        <v>8</v>
      </c>
      <c r="AE158">
        <v>0</v>
      </c>
      <c r="AF158">
        <v>10</v>
      </c>
      <c r="AG158">
        <v>6</v>
      </c>
      <c r="AH158">
        <v>13</v>
      </c>
      <c r="AI158">
        <v>0</v>
      </c>
      <c r="AJ158">
        <v>11</v>
      </c>
      <c r="AK158">
        <v>0</v>
      </c>
      <c r="AL158">
        <v>10</v>
      </c>
      <c r="AM158">
        <v>13</v>
      </c>
      <c r="AN158">
        <v>23</v>
      </c>
      <c r="AO158">
        <v>97</v>
      </c>
      <c r="AP158">
        <v>9</v>
      </c>
      <c r="AQ158">
        <v>4</v>
      </c>
      <c r="AR158">
        <v>5</v>
      </c>
      <c r="AS158">
        <v>0</v>
      </c>
      <c r="AT158">
        <v>40</v>
      </c>
      <c r="AU158">
        <v>0</v>
      </c>
      <c r="AV158">
        <v>15</v>
      </c>
      <c r="AW158">
        <v>29</v>
      </c>
      <c r="AX158">
        <v>40</v>
      </c>
      <c r="AY158">
        <v>41</v>
      </c>
      <c r="AZ158">
        <v>6</v>
      </c>
      <c r="BA158">
        <v>22</v>
      </c>
      <c r="BB158">
        <v>1</v>
      </c>
      <c r="BC158">
        <v>40</v>
      </c>
      <c r="BD158">
        <v>26</v>
      </c>
      <c r="BE158">
        <v>55</v>
      </c>
      <c r="BF158">
        <v>26</v>
      </c>
      <c r="BG158">
        <v>22</v>
      </c>
      <c r="BH158">
        <v>47</v>
      </c>
      <c r="BI158">
        <v>0</v>
      </c>
      <c r="BJ158">
        <v>64</v>
      </c>
      <c r="BK158">
        <v>61</v>
      </c>
      <c r="BL158">
        <v>12</v>
      </c>
      <c r="BM158">
        <v>30</v>
      </c>
      <c r="BN158">
        <v>35</v>
      </c>
      <c r="BO158">
        <v>0</v>
      </c>
      <c r="BP158">
        <v>22</v>
      </c>
      <c r="BQ158">
        <v>30</v>
      </c>
      <c r="BR158">
        <v>2</v>
      </c>
      <c r="BS158">
        <v>48</v>
      </c>
      <c r="BU158" s="1">
        <f>AVERAGE(Table9[[#This Row],[1-Jan-21]:[1-Dec-25]])</f>
        <v>16.516666666666666</v>
      </c>
    </row>
    <row r="159" spans="1:73" x14ac:dyDescent="0.55000000000000004">
      <c r="A159">
        <v>158</v>
      </c>
      <c r="B159" t="s">
        <v>71</v>
      </c>
      <c r="C159" t="s">
        <v>72</v>
      </c>
      <c r="D159" t="s">
        <v>73</v>
      </c>
      <c r="E159" t="s">
        <v>99</v>
      </c>
      <c r="F159">
        <v>121151</v>
      </c>
      <c r="G159" t="s">
        <v>277</v>
      </c>
      <c r="H159" t="s">
        <v>76</v>
      </c>
      <c r="I159" t="s">
        <v>80</v>
      </c>
      <c r="J159">
        <v>216.57</v>
      </c>
      <c r="K159">
        <v>0</v>
      </c>
      <c r="L159">
        <v>8</v>
      </c>
      <c r="M159">
        <v>20</v>
      </c>
      <c r="N159">
        <v>14</v>
      </c>
      <c r="O159">
        <v>20</v>
      </c>
      <c r="P159">
        <v>24</v>
      </c>
      <c r="Q159">
        <v>10</v>
      </c>
      <c r="R159">
        <v>17</v>
      </c>
      <c r="S159">
        <v>14</v>
      </c>
      <c r="T159">
        <v>4</v>
      </c>
      <c r="U159">
        <v>18</v>
      </c>
      <c r="V159">
        <v>36</v>
      </c>
      <c r="W159">
        <v>45</v>
      </c>
      <c r="X159">
        <v>8</v>
      </c>
      <c r="Y159">
        <v>22</v>
      </c>
      <c r="Z159">
        <v>18</v>
      </c>
      <c r="AA159">
        <v>2</v>
      </c>
      <c r="AB159">
        <v>0</v>
      </c>
      <c r="AC159">
        <v>4</v>
      </c>
      <c r="AD159">
        <v>0</v>
      </c>
      <c r="AE159">
        <v>14</v>
      </c>
      <c r="AF159">
        <v>0</v>
      </c>
      <c r="AG159">
        <v>2</v>
      </c>
      <c r="AH159">
        <v>0</v>
      </c>
      <c r="AI159">
        <v>7</v>
      </c>
      <c r="AJ159">
        <v>6</v>
      </c>
      <c r="AK159">
        <v>0</v>
      </c>
      <c r="AL159">
        <v>0</v>
      </c>
      <c r="AM159">
        <v>0</v>
      </c>
      <c r="AN159">
        <v>0</v>
      </c>
      <c r="AO159">
        <v>2</v>
      </c>
      <c r="AP159">
        <v>0</v>
      </c>
      <c r="AQ159">
        <v>0</v>
      </c>
      <c r="AR159">
        <v>4</v>
      </c>
      <c r="AS159">
        <v>0</v>
      </c>
      <c r="AT159">
        <v>7</v>
      </c>
      <c r="AU159">
        <v>4</v>
      </c>
      <c r="AV159">
        <v>0</v>
      </c>
      <c r="AW159">
        <v>2</v>
      </c>
      <c r="AX159">
        <v>0</v>
      </c>
      <c r="AY159">
        <v>24</v>
      </c>
      <c r="AZ159">
        <v>0</v>
      </c>
      <c r="BA159">
        <v>8</v>
      </c>
      <c r="BB159">
        <v>23</v>
      </c>
      <c r="BC159">
        <v>48</v>
      </c>
      <c r="BD159">
        <v>0</v>
      </c>
      <c r="BE159">
        <v>4</v>
      </c>
      <c r="BF159">
        <v>0</v>
      </c>
      <c r="BG159">
        <v>5</v>
      </c>
      <c r="BH159">
        <v>8</v>
      </c>
      <c r="BI159">
        <v>0</v>
      </c>
      <c r="BJ159">
        <v>8</v>
      </c>
      <c r="BK159">
        <v>24</v>
      </c>
      <c r="BL159">
        <v>31</v>
      </c>
      <c r="BM159">
        <v>14</v>
      </c>
      <c r="BN159">
        <v>20</v>
      </c>
      <c r="BO159">
        <v>4</v>
      </c>
      <c r="BP159">
        <v>4</v>
      </c>
      <c r="BQ159">
        <v>0</v>
      </c>
      <c r="BR159">
        <v>10</v>
      </c>
      <c r="BS159">
        <v>41</v>
      </c>
      <c r="BU159" s="1">
        <f>AVERAGE(Table9[[#This Row],[1-Jan-21]:[1-Dec-25]])</f>
        <v>9.4499999999999993</v>
      </c>
    </row>
    <row r="160" spans="1:73" x14ac:dyDescent="0.55000000000000004">
      <c r="A160">
        <v>159</v>
      </c>
      <c r="B160" t="s">
        <v>71</v>
      </c>
      <c r="C160" t="s">
        <v>72</v>
      </c>
      <c r="D160" t="s">
        <v>73</v>
      </c>
      <c r="E160" t="s">
        <v>87</v>
      </c>
      <c r="F160">
        <v>107666</v>
      </c>
      <c r="G160" t="s">
        <v>278</v>
      </c>
      <c r="H160" t="s">
        <v>76</v>
      </c>
      <c r="I160" t="s">
        <v>80</v>
      </c>
      <c r="J160">
        <v>53.15</v>
      </c>
      <c r="K160">
        <v>0</v>
      </c>
      <c r="L160">
        <v>26</v>
      </c>
      <c r="M160">
        <v>30</v>
      </c>
      <c r="N160">
        <v>8</v>
      </c>
      <c r="O160">
        <v>68</v>
      </c>
      <c r="P160">
        <v>80</v>
      </c>
      <c r="Q160">
        <v>23</v>
      </c>
      <c r="R160">
        <v>64</v>
      </c>
      <c r="S160">
        <v>10</v>
      </c>
      <c r="T160">
        <v>38</v>
      </c>
      <c r="U160">
        <v>82</v>
      </c>
      <c r="V160">
        <v>94</v>
      </c>
      <c r="W160">
        <v>0</v>
      </c>
      <c r="X160">
        <v>41</v>
      </c>
      <c r="Y160">
        <v>102</v>
      </c>
      <c r="Z160">
        <v>38</v>
      </c>
      <c r="AA160">
        <v>27</v>
      </c>
      <c r="AB160">
        <v>30</v>
      </c>
      <c r="AC160">
        <v>10</v>
      </c>
      <c r="AD160">
        <v>5</v>
      </c>
      <c r="AE160">
        <v>24</v>
      </c>
      <c r="AF160">
        <v>0</v>
      </c>
      <c r="AG160">
        <v>53</v>
      </c>
      <c r="AH160">
        <v>40</v>
      </c>
      <c r="AI160">
        <v>46</v>
      </c>
      <c r="AJ160">
        <v>5</v>
      </c>
      <c r="AK160">
        <v>12</v>
      </c>
      <c r="AL160">
        <v>45</v>
      </c>
      <c r="AM160">
        <v>70</v>
      </c>
      <c r="AN160">
        <v>24</v>
      </c>
      <c r="AO160">
        <v>0</v>
      </c>
      <c r="AP160">
        <v>0</v>
      </c>
      <c r="AQ160">
        <v>32</v>
      </c>
      <c r="AR160">
        <v>10</v>
      </c>
      <c r="AS160">
        <v>38</v>
      </c>
      <c r="AT160">
        <v>30</v>
      </c>
      <c r="AU160">
        <v>0</v>
      </c>
      <c r="AV160">
        <v>35</v>
      </c>
      <c r="AW160">
        <v>10</v>
      </c>
      <c r="AX160">
        <v>41</v>
      </c>
      <c r="AY160">
        <v>11</v>
      </c>
      <c r="AZ160">
        <v>50</v>
      </c>
      <c r="BA160">
        <v>23</v>
      </c>
      <c r="BB160">
        <v>10</v>
      </c>
      <c r="BC160">
        <v>40</v>
      </c>
      <c r="BD160">
        <v>0</v>
      </c>
      <c r="BE160">
        <v>58</v>
      </c>
      <c r="BF160">
        <v>37</v>
      </c>
      <c r="BG160">
        <v>45</v>
      </c>
      <c r="BH160">
        <v>16</v>
      </c>
      <c r="BI160">
        <v>16</v>
      </c>
      <c r="BJ160">
        <v>79</v>
      </c>
      <c r="BK160">
        <v>24</v>
      </c>
      <c r="BL160">
        <v>0</v>
      </c>
      <c r="BM160">
        <v>84</v>
      </c>
      <c r="BN160">
        <v>39</v>
      </c>
      <c r="BO160">
        <v>14</v>
      </c>
      <c r="BP160">
        <v>48</v>
      </c>
      <c r="BQ160">
        <v>2</v>
      </c>
      <c r="BR160">
        <v>0</v>
      </c>
      <c r="BS160">
        <v>51</v>
      </c>
      <c r="BU160" s="1">
        <f>AVERAGE(Table9[[#This Row],[1-Jan-21]:[1-Dec-25]])</f>
        <v>31.45</v>
      </c>
    </row>
    <row r="161" spans="1:73" x14ac:dyDescent="0.55000000000000004">
      <c r="A161">
        <v>160</v>
      </c>
      <c r="B161" t="s">
        <v>71</v>
      </c>
      <c r="C161" t="s">
        <v>72</v>
      </c>
      <c r="D161" t="s">
        <v>73</v>
      </c>
      <c r="E161" t="s">
        <v>99</v>
      </c>
      <c r="F161">
        <v>148119</v>
      </c>
      <c r="G161" t="s">
        <v>279</v>
      </c>
      <c r="H161" t="s">
        <v>76</v>
      </c>
      <c r="I161" t="s">
        <v>80</v>
      </c>
      <c r="J161">
        <v>2362.52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>
        <v>2</v>
      </c>
      <c r="R161">
        <v>9</v>
      </c>
      <c r="S161">
        <v>8</v>
      </c>
      <c r="T161">
        <v>6</v>
      </c>
      <c r="U161">
        <v>3</v>
      </c>
      <c r="V161">
        <v>1</v>
      </c>
      <c r="W161">
        <v>5</v>
      </c>
      <c r="X161">
        <v>0</v>
      </c>
      <c r="Y161">
        <v>3</v>
      </c>
      <c r="Z161">
        <v>1</v>
      </c>
      <c r="AA161">
        <v>0</v>
      </c>
      <c r="AB161">
        <v>1</v>
      </c>
      <c r="AC161">
        <v>2</v>
      </c>
      <c r="AD161">
        <v>2</v>
      </c>
      <c r="AE161">
        <v>4</v>
      </c>
      <c r="AF161">
        <v>3</v>
      </c>
      <c r="AG161">
        <v>1</v>
      </c>
      <c r="AH161">
        <v>0</v>
      </c>
      <c r="AI161">
        <v>2</v>
      </c>
      <c r="AJ161">
        <v>4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2</v>
      </c>
      <c r="AQ161">
        <v>1</v>
      </c>
      <c r="AR161">
        <v>1</v>
      </c>
      <c r="AS161">
        <v>1</v>
      </c>
      <c r="AT161">
        <v>0</v>
      </c>
      <c r="AU161">
        <v>2</v>
      </c>
      <c r="AV161">
        <v>1</v>
      </c>
      <c r="AW161">
        <v>0</v>
      </c>
      <c r="AX161">
        <v>1</v>
      </c>
      <c r="AY161">
        <v>0</v>
      </c>
      <c r="AZ161">
        <v>1</v>
      </c>
      <c r="BA161">
        <v>1</v>
      </c>
      <c r="BB161">
        <v>1</v>
      </c>
      <c r="BC161">
        <v>1</v>
      </c>
      <c r="BD161">
        <v>0</v>
      </c>
      <c r="BE161">
        <v>3</v>
      </c>
      <c r="BF161">
        <v>3</v>
      </c>
      <c r="BG161">
        <v>3</v>
      </c>
      <c r="BH161">
        <v>1</v>
      </c>
      <c r="BI161">
        <v>4</v>
      </c>
      <c r="BJ161">
        <v>0</v>
      </c>
      <c r="BK161">
        <v>1</v>
      </c>
      <c r="BL161">
        <v>2</v>
      </c>
      <c r="BM161">
        <v>2</v>
      </c>
      <c r="BN161">
        <v>0</v>
      </c>
      <c r="BO161">
        <v>2</v>
      </c>
      <c r="BP161">
        <v>0</v>
      </c>
      <c r="BQ161">
        <v>3</v>
      </c>
      <c r="BR161">
        <v>5</v>
      </c>
      <c r="BS161">
        <v>42</v>
      </c>
      <c r="BU161" s="1">
        <f>AVERAGE(Table9[[#This Row],[1-Jan-21]:[1-Dec-25]])</f>
        <v>1.75</v>
      </c>
    </row>
    <row r="162" spans="1:73" x14ac:dyDescent="0.55000000000000004">
      <c r="A162">
        <v>161</v>
      </c>
      <c r="B162" t="s">
        <v>71</v>
      </c>
      <c r="C162" t="s">
        <v>72</v>
      </c>
      <c r="D162" t="s">
        <v>73</v>
      </c>
      <c r="E162" t="s">
        <v>81</v>
      </c>
      <c r="F162">
        <v>111250</v>
      </c>
      <c r="G162" t="s">
        <v>280</v>
      </c>
      <c r="H162" t="s">
        <v>76</v>
      </c>
      <c r="I162" t="s">
        <v>80</v>
      </c>
      <c r="J162">
        <v>63.26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</v>
      </c>
      <c r="S162">
        <v>40</v>
      </c>
      <c r="T162">
        <v>10</v>
      </c>
      <c r="U162">
        <v>20</v>
      </c>
      <c r="V162">
        <v>81</v>
      </c>
      <c r="W162">
        <v>10</v>
      </c>
      <c r="X162">
        <v>53</v>
      </c>
      <c r="Y162">
        <v>10</v>
      </c>
      <c r="Z162">
        <v>24</v>
      </c>
      <c r="AA162">
        <v>0</v>
      </c>
      <c r="AB162">
        <v>23</v>
      </c>
      <c r="AC162">
        <v>2</v>
      </c>
      <c r="AD162">
        <v>5</v>
      </c>
      <c r="AE162">
        <v>14</v>
      </c>
      <c r="AF162">
        <v>15</v>
      </c>
      <c r="AG162">
        <v>5</v>
      </c>
      <c r="AH162">
        <v>17</v>
      </c>
      <c r="AI162">
        <v>18</v>
      </c>
      <c r="AJ162">
        <v>5</v>
      </c>
      <c r="AK162">
        <v>6</v>
      </c>
      <c r="AL162">
        <v>14</v>
      </c>
      <c r="AM162">
        <v>8</v>
      </c>
      <c r="AN162">
        <v>6</v>
      </c>
      <c r="AO162">
        <v>0</v>
      </c>
      <c r="AP162">
        <v>12</v>
      </c>
      <c r="AQ162">
        <v>0</v>
      </c>
      <c r="AR162">
        <v>14</v>
      </c>
      <c r="AS162">
        <v>28</v>
      </c>
      <c r="AT162">
        <v>23</v>
      </c>
      <c r="AU162">
        <v>34</v>
      </c>
      <c r="AV162">
        <v>24</v>
      </c>
      <c r="AW162">
        <v>2</v>
      </c>
      <c r="AX162">
        <v>26</v>
      </c>
      <c r="AY162">
        <v>44</v>
      </c>
      <c r="AZ162">
        <v>20</v>
      </c>
      <c r="BA162">
        <v>21</v>
      </c>
      <c r="BB162">
        <v>24</v>
      </c>
      <c r="BC162">
        <v>20</v>
      </c>
      <c r="BD162">
        <v>12</v>
      </c>
      <c r="BE162">
        <v>74</v>
      </c>
      <c r="BF162">
        <v>22</v>
      </c>
      <c r="BG162">
        <v>9</v>
      </c>
      <c r="BH162">
        <v>28</v>
      </c>
      <c r="BI162">
        <v>7</v>
      </c>
      <c r="BJ162">
        <v>6</v>
      </c>
      <c r="BK162">
        <v>40</v>
      </c>
      <c r="BL162">
        <v>24</v>
      </c>
      <c r="BM162">
        <v>36</v>
      </c>
      <c r="BN162">
        <v>0</v>
      </c>
      <c r="BO162">
        <v>10</v>
      </c>
      <c r="BP162">
        <v>13</v>
      </c>
      <c r="BQ162">
        <v>12</v>
      </c>
      <c r="BR162">
        <v>0</v>
      </c>
      <c r="BS162">
        <v>48</v>
      </c>
      <c r="BU162" s="1">
        <f>AVERAGE(Table9[[#This Row],[1-Jan-21]:[1-Dec-25]])</f>
        <v>16.516666666666666</v>
      </c>
    </row>
    <row r="163" spans="1:73" x14ac:dyDescent="0.55000000000000004">
      <c r="A163">
        <v>162</v>
      </c>
      <c r="B163" t="s">
        <v>71</v>
      </c>
      <c r="C163" t="s">
        <v>72</v>
      </c>
      <c r="D163" t="s">
        <v>73</v>
      </c>
      <c r="E163" t="s">
        <v>83</v>
      </c>
      <c r="F163">
        <v>108767</v>
      </c>
      <c r="G163" t="s">
        <v>281</v>
      </c>
      <c r="H163" t="s">
        <v>76</v>
      </c>
      <c r="I163" t="s">
        <v>77</v>
      </c>
      <c r="J163">
        <v>474.04</v>
      </c>
      <c r="K163">
        <v>316</v>
      </c>
      <c r="L163">
        <v>203.5</v>
      </c>
      <c r="M163">
        <v>155</v>
      </c>
      <c r="N163">
        <v>78</v>
      </c>
      <c r="O163">
        <v>117</v>
      </c>
      <c r="P163">
        <v>137.69999999999999</v>
      </c>
      <c r="Q163">
        <v>245</v>
      </c>
      <c r="R163">
        <v>246.96199999999999</v>
      </c>
      <c r="S163">
        <v>120</v>
      </c>
      <c r="T163">
        <v>145</v>
      </c>
      <c r="U163">
        <v>77</v>
      </c>
      <c r="V163">
        <v>80</v>
      </c>
      <c r="W163">
        <v>83</v>
      </c>
      <c r="X163">
        <v>75</v>
      </c>
      <c r="Y163">
        <v>361.964</v>
      </c>
      <c r="Z163">
        <v>75</v>
      </c>
      <c r="AA163">
        <v>124</v>
      </c>
      <c r="AB163">
        <v>104.5</v>
      </c>
      <c r="AC163">
        <v>169</v>
      </c>
      <c r="AD163">
        <v>186.202</v>
      </c>
      <c r="AE163">
        <v>100</v>
      </c>
      <c r="AF163">
        <v>77</v>
      </c>
      <c r="AG163">
        <v>118</v>
      </c>
      <c r="AH163">
        <v>0</v>
      </c>
      <c r="AI163">
        <v>165</v>
      </c>
      <c r="AJ163">
        <v>153.21600000000001</v>
      </c>
      <c r="AK163">
        <v>236.28</v>
      </c>
      <c r="AL163">
        <v>0</v>
      </c>
      <c r="AM163">
        <v>151</v>
      </c>
      <c r="AN163">
        <v>98</v>
      </c>
      <c r="AO163">
        <v>212</v>
      </c>
      <c r="AP163">
        <v>157</v>
      </c>
      <c r="AQ163">
        <v>294.42399999999998</v>
      </c>
      <c r="AR163">
        <v>162.5</v>
      </c>
      <c r="AS163">
        <v>232</v>
      </c>
      <c r="AT163">
        <v>160</v>
      </c>
      <c r="AU163">
        <v>282</v>
      </c>
      <c r="AV163">
        <v>184.54</v>
      </c>
      <c r="AW163">
        <v>245</v>
      </c>
      <c r="AX163">
        <v>76</v>
      </c>
      <c r="AY163">
        <v>305</v>
      </c>
      <c r="AZ163">
        <v>206.53</v>
      </c>
      <c r="BA163">
        <v>144</v>
      </c>
      <c r="BB163">
        <v>92</v>
      </c>
      <c r="BC163">
        <v>243</v>
      </c>
      <c r="BD163">
        <v>435</v>
      </c>
      <c r="BE163">
        <v>186.12</v>
      </c>
      <c r="BF163">
        <v>184.5</v>
      </c>
      <c r="BG163">
        <v>185</v>
      </c>
      <c r="BH163">
        <v>341</v>
      </c>
      <c r="BI163">
        <v>18</v>
      </c>
      <c r="BJ163">
        <v>292.79000000000002</v>
      </c>
      <c r="BK163">
        <v>132</v>
      </c>
      <c r="BL163">
        <v>298</v>
      </c>
      <c r="BM163">
        <v>161.6</v>
      </c>
      <c r="BN163">
        <v>90</v>
      </c>
      <c r="BO163">
        <v>220</v>
      </c>
      <c r="BP163">
        <v>114.5</v>
      </c>
      <c r="BQ163">
        <v>193</v>
      </c>
      <c r="BR163">
        <v>105</v>
      </c>
      <c r="BS163">
        <v>58</v>
      </c>
      <c r="BU163" s="1">
        <f>AVERAGE(Table9[[#This Row],[1-Jan-21]:[1-Dec-25]])</f>
        <v>169.18046666666669</v>
      </c>
    </row>
    <row r="164" spans="1:73" x14ac:dyDescent="0.55000000000000004">
      <c r="A164">
        <v>163</v>
      </c>
      <c r="B164" t="s">
        <v>71</v>
      </c>
      <c r="C164" t="s">
        <v>72</v>
      </c>
      <c r="D164" t="s">
        <v>73</v>
      </c>
      <c r="E164" t="s">
        <v>83</v>
      </c>
      <c r="F164">
        <v>108768</v>
      </c>
      <c r="G164" t="s">
        <v>282</v>
      </c>
      <c r="H164" t="s">
        <v>76</v>
      </c>
      <c r="I164" t="s">
        <v>77</v>
      </c>
      <c r="J164">
        <v>403.55</v>
      </c>
      <c r="K164">
        <v>26</v>
      </c>
      <c r="L164">
        <v>26</v>
      </c>
      <c r="M164">
        <v>0</v>
      </c>
      <c r="N164">
        <v>40</v>
      </c>
      <c r="O164">
        <v>0</v>
      </c>
      <c r="P164">
        <v>73.97</v>
      </c>
      <c r="Q164">
        <v>58</v>
      </c>
      <c r="R164">
        <v>0</v>
      </c>
      <c r="S164">
        <v>38</v>
      </c>
      <c r="T164">
        <v>43</v>
      </c>
      <c r="U164">
        <v>9</v>
      </c>
      <c r="V164">
        <v>17</v>
      </c>
      <c r="W164">
        <v>32.5</v>
      </c>
      <c r="X164">
        <v>0</v>
      </c>
      <c r="Y164">
        <v>101.04</v>
      </c>
      <c r="Z164">
        <v>20</v>
      </c>
      <c r="AA164">
        <v>12</v>
      </c>
      <c r="AB164">
        <v>35</v>
      </c>
      <c r="AC164">
        <v>22</v>
      </c>
      <c r="AD164">
        <v>0</v>
      </c>
      <c r="AE164">
        <v>55</v>
      </c>
      <c r="AF164">
        <v>26.5</v>
      </c>
      <c r="AG164">
        <v>21</v>
      </c>
      <c r="AH164">
        <v>39.700000000000003</v>
      </c>
      <c r="AI164">
        <v>0</v>
      </c>
      <c r="AJ164">
        <v>0</v>
      </c>
      <c r="AK164">
        <v>39</v>
      </c>
      <c r="AL164">
        <v>11.6</v>
      </c>
      <c r="AM164">
        <v>13.15</v>
      </c>
      <c r="AN164">
        <v>0</v>
      </c>
      <c r="AO164">
        <v>19.760000000000002</v>
      </c>
      <c r="AP164">
        <v>0</v>
      </c>
      <c r="AQ164">
        <v>0</v>
      </c>
      <c r="AR164">
        <v>0</v>
      </c>
      <c r="AS164">
        <v>0</v>
      </c>
      <c r="AT164">
        <v>14.5</v>
      </c>
      <c r="AU164">
        <v>25.196000000000002</v>
      </c>
      <c r="AV164">
        <v>0</v>
      </c>
      <c r="AW164">
        <v>20</v>
      </c>
      <c r="AX164">
        <v>25</v>
      </c>
      <c r="AY164">
        <v>58.96</v>
      </c>
      <c r="AZ164">
        <v>10</v>
      </c>
      <c r="BA164">
        <v>56</v>
      </c>
      <c r="BB164">
        <v>19.888000000000002</v>
      </c>
      <c r="BC164">
        <v>59</v>
      </c>
      <c r="BD164">
        <v>70</v>
      </c>
      <c r="BE164">
        <v>12.5</v>
      </c>
      <c r="BF164">
        <v>30</v>
      </c>
      <c r="BG164">
        <v>105.376</v>
      </c>
      <c r="BH164">
        <v>0</v>
      </c>
      <c r="BI164">
        <v>13</v>
      </c>
      <c r="BJ164">
        <v>15</v>
      </c>
      <c r="BK164">
        <v>0</v>
      </c>
      <c r="BL164">
        <v>32</v>
      </c>
      <c r="BM164">
        <v>95.3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40</v>
      </c>
      <c r="BU164" s="1">
        <f>AVERAGE(Table9[[#This Row],[1-Jan-21]:[1-Dec-25]])</f>
        <v>24.015666666666668</v>
      </c>
    </row>
    <row r="165" spans="1:73" x14ac:dyDescent="0.55000000000000004">
      <c r="A165">
        <v>164</v>
      </c>
      <c r="B165" t="s">
        <v>71</v>
      </c>
      <c r="C165" t="s">
        <v>72</v>
      </c>
      <c r="D165" t="s">
        <v>73</v>
      </c>
      <c r="E165" t="s">
        <v>151</v>
      </c>
      <c r="F165">
        <v>111402</v>
      </c>
      <c r="G165" t="s">
        <v>283</v>
      </c>
      <c r="H165" t="s">
        <v>76</v>
      </c>
      <c r="I165" t="s">
        <v>80</v>
      </c>
      <c r="J165">
        <v>778</v>
      </c>
      <c r="K165">
        <v>32</v>
      </c>
      <c r="L165">
        <v>16</v>
      </c>
      <c r="M165">
        <v>40</v>
      </c>
      <c r="N165">
        <v>86</v>
      </c>
      <c r="O165">
        <v>61</v>
      </c>
      <c r="P165">
        <v>108</v>
      </c>
      <c r="Q165">
        <v>68</v>
      </c>
      <c r="R165">
        <v>16</v>
      </c>
      <c r="S165">
        <v>61</v>
      </c>
      <c r="T165">
        <v>42</v>
      </c>
      <c r="U165">
        <v>266</v>
      </c>
      <c r="V165">
        <v>104</v>
      </c>
      <c r="W165">
        <v>111</v>
      </c>
      <c r="X165">
        <v>173</v>
      </c>
      <c r="Y165">
        <v>75</v>
      </c>
      <c r="Z165">
        <v>102</v>
      </c>
      <c r="AA165">
        <v>118</v>
      </c>
      <c r="AB165">
        <v>100</v>
      </c>
      <c r="AC165">
        <v>20</v>
      </c>
      <c r="AD165">
        <v>80</v>
      </c>
      <c r="AE165">
        <v>12</v>
      </c>
      <c r="AF165">
        <v>8</v>
      </c>
      <c r="AG165">
        <v>67</v>
      </c>
      <c r="AH165">
        <v>15</v>
      </c>
      <c r="AI165">
        <v>0</v>
      </c>
      <c r="AJ165">
        <v>14</v>
      </c>
      <c r="AK165">
        <v>49</v>
      </c>
      <c r="AL165">
        <v>120</v>
      </c>
      <c r="AM165">
        <v>160</v>
      </c>
      <c r="AN165">
        <v>32</v>
      </c>
      <c r="AO165">
        <v>32</v>
      </c>
      <c r="AP165">
        <v>48</v>
      </c>
      <c r="AQ165">
        <v>10</v>
      </c>
      <c r="AR165">
        <v>26</v>
      </c>
      <c r="AS165">
        <v>12</v>
      </c>
      <c r="AT165">
        <v>41</v>
      </c>
      <c r="AU165">
        <v>18</v>
      </c>
      <c r="AV165">
        <v>76</v>
      </c>
      <c r="AW165">
        <v>61</v>
      </c>
      <c r="AX165">
        <v>0</v>
      </c>
      <c r="AY165">
        <v>58</v>
      </c>
      <c r="AZ165">
        <v>14</v>
      </c>
      <c r="BA165">
        <v>32</v>
      </c>
      <c r="BB165">
        <v>36</v>
      </c>
      <c r="BC165">
        <v>77</v>
      </c>
      <c r="BD165">
        <v>28</v>
      </c>
      <c r="BE165">
        <v>44</v>
      </c>
      <c r="BF165">
        <v>116</v>
      </c>
      <c r="BG165">
        <v>73</v>
      </c>
      <c r="BH165">
        <v>60</v>
      </c>
      <c r="BI165">
        <v>52</v>
      </c>
      <c r="BJ165">
        <v>48</v>
      </c>
      <c r="BK165">
        <v>24</v>
      </c>
      <c r="BL165">
        <v>32</v>
      </c>
      <c r="BM165">
        <v>32</v>
      </c>
      <c r="BN165">
        <v>68</v>
      </c>
      <c r="BO165">
        <v>78</v>
      </c>
      <c r="BP165">
        <v>6</v>
      </c>
      <c r="BQ165">
        <v>58</v>
      </c>
      <c r="BR165">
        <v>4</v>
      </c>
      <c r="BS165">
        <v>58</v>
      </c>
      <c r="BU165" s="1">
        <f>AVERAGE(Table9[[#This Row],[1-Jan-21]:[1-Dec-25]])</f>
        <v>57</v>
      </c>
    </row>
    <row r="166" spans="1:73" x14ac:dyDescent="0.55000000000000004">
      <c r="A166">
        <v>165</v>
      </c>
      <c r="B166" t="s">
        <v>71</v>
      </c>
      <c r="C166" t="s">
        <v>72</v>
      </c>
      <c r="D166" t="s">
        <v>73</v>
      </c>
      <c r="E166" t="s">
        <v>87</v>
      </c>
      <c r="F166">
        <v>107649</v>
      </c>
      <c r="G166" t="s">
        <v>284</v>
      </c>
      <c r="H166" t="s">
        <v>76</v>
      </c>
      <c r="I166" t="s">
        <v>80</v>
      </c>
      <c r="J166">
        <v>38.44</v>
      </c>
      <c r="K166">
        <v>42</v>
      </c>
      <c r="L166">
        <v>14</v>
      </c>
      <c r="M166">
        <v>20</v>
      </c>
      <c r="N166">
        <v>0</v>
      </c>
      <c r="O166">
        <v>0</v>
      </c>
      <c r="P166">
        <v>6</v>
      </c>
      <c r="Q166">
        <v>55</v>
      </c>
      <c r="R166">
        <v>10</v>
      </c>
      <c r="S166">
        <v>10</v>
      </c>
      <c r="T166">
        <v>20</v>
      </c>
      <c r="U166">
        <v>2</v>
      </c>
      <c r="V166">
        <v>59</v>
      </c>
      <c r="W166">
        <v>8</v>
      </c>
      <c r="X166">
        <v>8</v>
      </c>
      <c r="Y166">
        <v>0</v>
      </c>
      <c r="Z166">
        <v>8</v>
      </c>
      <c r="AA166">
        <v>50</v>
      </c>
      <c r="AB166">
        <v>60</v>
      </c>
      <c r="AC166">
        <v>22</v>
      </c>
      <c r="AD166">
        <v>2</v>
      </c>
      <c r="AE166">
        <v>15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20</v>
      </c>
      <c r="AL166">
        <v>10</v>
      </c>
      <c r="AM166">
        <v>12</v>
      </c>
      <c r="AN166">
        <v>0</v>
      </c>
      <c r="AO166">
        <v>10</v>
      </c>
      <c r="AP166">
        <v>0</v>
      </c>
      <c r="AQ166">
        <v>0</v>
      </c>
      <c r="AR166">
        <v>27</v>
      </c>
      <c r="AS166">
        <v>10</v>
      </c>
      <c r="AT166">
        <v>20</v>
      </c>
      <c r="AU166">
        <v>40</v>
      </c>
      <c r="AV166">
        <v>0</v>
      </c>
      <c r="AW166">
        <v>37</v>
      </c>
      <c r="AX166">
        <v>0</v>
      </c>
      <c r="AY166">
        <v>40</v>
      </c>
      <c r="AZ166">
        <v>20</v>
      </c>
      <c r="BA166">
        <v>0</v>
      </c>
      <c r="BB166">
        <v>20</v>
      </c>
      <c r="BC166">
        <v>0</v>
      </c>
      <c r="BD166">
        <v>12</v>
      </c>
      <c r="BE166">
        <v>31</v>
      </c>
      <c r="BF166">
        <v>16</v>
      </c>
      <c r="BG166">
        <v>0</v>
      </c>
      <c r="BH166">
        <v>34</v>
      </c>
      <c r="BI166">
        <v>20</v>
      </c>
      <c r="BJ166">
        <v>0</v>
      </c>
      <c r="BK166">
        <v>20</v>
      </c>
      <c r="BL166">
        <v>5</v>
      </c>
      <c r="BM166">
        <v>2</v>
      </c>
      <c r="BN166">
        <v>8</v>
      </c>
      <c r="BO166">
        <v>28</v>
      </c>
      <c r="BP166">
        <v>0</v>
      </c>
      <c r="BQ166">
        <v>4</v>
      </c>
      <c r="BR166">
        <v>15</v>
      </c>
      <c r="BS166">
        <v>43</v>
      </c>
      <c r="BU166" s="1">
        <f>AVERAGE(Table9[[#This Row],[1-Jan-21]:[1-Dec-25]])</f>
        <v>14.55</v>
      </c>
    </row>
    <row r="167" spans="1:73" x14ac:dyDescent="0.55000000000000004">
      <c r="A167">
        <v>166</v>
      </c>
      <c r="B167" t="s">
        <v>71</v>
      </c>
      <c r="C167" t="s">
        <v>72</v>
      </c>
      <c r="D167" t="s">
        <v>73</v>
      </c>
      <c r="E167" t="s">
        <v>285</v>
      </c>
      <c r="F167">
        <v>117850</v>
      </c>
      <c r="G167" t="s">
        <v>286</v>
      </c>
      <c r="H167" t="s">
        <v>76</v>
      </c>
      <c r="I167" t="s">
        <v>80</v>
      </c>
      <c r="J167">
        <v>405.26</v>
      </c>
      <c r="K167">
        <v>24</v>
      </c>
      <c r="L167">
        <v>19</v>
      </c>
      <c r="M167">
        <v>25</v>
      </c>
      <c r="N167">
        <v>6</v>
      </c>
      <c r="O167">
        <v>17</v>
      </c>
      <c r="P167">
        <v>20</v>
      </c>
      <c r="Q167">
        <v>6</v>
      </c>
      <c r="R167">
        <v>12</v>
      </c>
      <c r="S167">
        <v>38</v>
      </c>
      <c r="T167">
        <v>33</v>
      </c>
      <c r="U167">
        <v>1</v>
      </c>
      <c r="V167">
        <v>3</v>
      </c>
      <c r="W167">
        <v>27</v>
      </c>
      <c r="X167">
        <v>14</v>
      </c>
      <c r="Y167">
        <v>12</v>
      </c>
      <c r="Z167">
        <v>35</v>
      </c>
      <c r="AA167">
        <v>32</v>
      </c>
      <c r="AB167">
        <v>12</v>
      </c>
      <c r="AC167">
        <v>6</v>
      </c>
      <c r="AD167">
        <v>16</v>
      </c>
      <c r="AE167">
        <v>4</v>
      </c>
      <c r="AF167">
        <v>15</v>
      </c>
      <c r="AG167">
        <v>10</v>
      </c>
      <c r="AH167">
        <v>0</v>
      </c>
      <c r="AI167">
        <v>22</v>
      </c>
      <c r="AJ167">
        <v>31</v>
      </c>
      <c r="AK167">
        <v>16</v>
      </c>
      <c r="AL167">
        <v>11</v>
      </c>
      <c r="AM167">
        <v>38</v>
      </c>
      <c r="AN167">
        <v>13</v>
      </c>
      <c r="AO167">
        <v>12</v>
      </c>
      <c r="AP167">
        <v>10</v>
      </c>
      <c r="AQ167">
        <v>13</v>
      </c>
      <c r="AR167">
        <v>11</v>
      </c>
      <c r="AS167">
        <v>12</v>
      </c>
      <c r="AT167">
        <v>14</v>
      </c>
      <c r="AU167">
        <v>6</v>
      </c>
      <c r="AV167">
        <v>11</v>
      </c>
      <c r="AW167">
        <v>12</v>
      </c>
      <c r="AX167">
        <v>33</v>
      </c>
      <c r="AY167">
        <v>12</v>
      </c>
      <c r="AZ167">
        <v>5</v>
      </c>
      <c r="BA167">
        <v>2</v>
      </c>
      <c r="BB167">
        <v>11</v>
      </c>
      <c r="BC167">
        <v>11</v>
      </c>
      <c r="BD167">
        <v>12</v>
      </c>
      <c r="BE167">
        <v>17</v>
      </c>
      <c r="BF167">
        <v>12</v>
      </c>
      <c r="BG167">
        <v>16</v>
      </c>
      <c r="BH167">
        <v>13</v>
      </c>
      <c r="BI167">
        <v>6</v>
      </c>
      <c r="BJ167">
        <v>3</v>
      </c>
      <c r="BK167">
        <v>11</v>
      </c>
      <c r="BL167">
        <v>6</v>
      </c>
      <c r="BM167">
        <v>6</v>
      </c>
      <c r="BN167">
        <v>13</v>
      </c>
      <c r="BO167">
        <v>4</v>
      </c>
      <c r="BP167">
        <v>16</v>
      </c>
      <c r="BQ167">
        <v>21</v>
      </c>
      <c r="BR167">
        <v>9</v>
      </c>
      <c r="BS167">
        <v>59</v>
      </c>
      <c r="BU167" s="1">
        <f>AVERAGE(Table9[[#This Row],[1-Jan-21]:[1-Dec-25]])</f>
        <v>14.3</v>
      </c>
    </row>
    <row r="168" spans="1:73" x14ac:dyDescent="0.55000000000000004">
      <c r="A168">
        <v>167</v>
      </c>
      <c r="B168" t="s">
        <v>71</v>
      </c>
      <c r="C168" t="s">
        <v>72</v>
      </c>
      <c r="D168" t="s">
        <v>73</v>
      </c>
      <c r="E168" t="s">
        <v>287</v>
      </c>
      <c r="F168">
        <v>111060</v>
      </c>
      <c r="G168" t="s">
        <v>288</v>
      </c>
      <c r="H168" t="s">
        <v>76</v>
      </c>
      <c r="I168" t="s">
        <v>80</v>
      </c>
      <c r="J168">
        <v>8105.26</v>
      </c>
      <c r="K168">
        <v>2</v>
      </c>
      <c r="L168">
        <v>1</v>
      </c>
      <c r="M168">
        <v>7</v>
      </c>
      <c r="N168">
        <v>0</v>
      </c>
      <c r="O168">
        <v>1</v>
      </c>
      <c r="P168">
        <v>11</v>
      </c>
      <c r="Q168">
        <v>2</v>
      </c>
      <c r="R168">
        <v>7</v>
      </c>
      <c r="S168">
        <v>2</v>
      </c>
      <c r="T168">
        <v>2</v>
      </c>
      <c r="U168">
        <v>2</v>
      </c>
      <c r="V168">
        <v>0</v>
      </c>
      <c r="W168">
        <v>1</v>
      </c>
      <c r="X168">
        <v>4</v>
      </c>
      <c r="Y168">
        <v>2</v>
      </c>
      <c r="Z168">
        <v>1</v>
      </c>
      <c r="AA168">
        <v>1</v>
      </c>
      <c r="AB168">
        <v>3</v>
      </c>
      <c r="AC168">
        <v>0</v>
      </c>
      <c r="AD168">
        <v>0</v>
      </c>
      <c r="AE168">
        <v>8</v>
      </c>
      <c r="AF168">
        <v>5</v>
      </c>
      <c r="AG168">
        <v>2</v>
      </c>
      <c r="AH168">
        <v>0</v>
      </c>
      <c r="AI168">
        <v>1</v>
      </c>
      <c r="AJ168">
        <v>0</v>
      </c>
      <c r="AK168">
        <v>3</v>
      </c>
      <c r="AL168">
        <v>2</v>
      </c>
      <c r="AM168">
        <v>20</v>
      </c>
      <c r="AN168">
        <v>2</v>
      </c>
      <c r="AO168">
        <v>5</v>
      </c>
      <c r="AP168">
        <v>0</v>
      </c>
      <c r="AQ168">
        <v>0</v>
      </c>
      <c r="AR168">
        <v>10</v>
      </c>
      <c r="AS168">
        <v>4</v>
      </c>
      <c r="AT168">
        <v>1</v>
      </c>
      <c r="AU168">
        <v>11</v>
      </c>
      <c r="AV168">
        <v>4</v>
      </c>
      <c r="AW168">
        <v>8</v>
      </c>
      <c r="AX168">
        <v>7</v>
      </c>
      <c r="AY168">
        <v>24</v>
      </c>
      <c r="AZ168">
        <v>3</v>
      </c>
      <c r="BA168">
        <v>9</v>
      </c>
      <c r="BB168">
        <v>13</v>
      </c>
      <c r="BC168">
        <v>12</v>
      </c>
      <c r="BD168">
        <v>15</v>
      </c>
      <c r="BE168">
        <v>8</v>
      </c>
      <c r="BF168">
        <v>8</v>
      </c>
      <c r="BG168">
        <v>3</v>
      </c>
      <c r="BH168">
        <v>12</v>
      </c>
      <c r="BI168">
        <v>23</v>
      </c>
      <c r="BJ168">
        <v>3</v>
      </c>
      <c r="BK168">
        <v>4</v>
      </c>
      <c r="BL168">
        <v>1</v>
      </c>
      <c r="BM168">
        <v>18</v>
      </c>
      <c r="BN168">
        <v>0</v>
      </c>
      <c r="BO168">
        <v>15</v>
      </c>
      <c r="BP168">
        <v>2</v>
      </c>
      <c r="BQ168">
        <v>5</v>
      </c>
      <c r="BR168">
        <v>0</v>
      </c>
      <c r="BS168">
        <v>50</v>
      </c>
      <c r="BU168" s="1">
        <f>AVERAGE(Table9[[#This Row],[1-Jan-21]:[1-Dec-25]])</f>
        <v>5.333333333333333</v>
      </c>
    </row>
    <row r="169" spans="1:73" x14ac:dyDescent="0.55000000000000004">
      <c r="A169">
        <v>168</v>
      </c>
      <c r="B169" t="s">
        <v>71</v>
      </c>
      <c r="C169" t="s">
        <v>72</v>
      </c>
      <c r="D169" t="s">
        <v>73</v>
      </c>
      <c r="E169" t="s">
        <v>184</v>
      </c>
      <c r="F169">
        <v>107781</v>
      </c>
      <c r="G169" t="s">
        <v>289</v>
      </c>
      <c r="H169" t="s">
        <v>76</v>
      </c>
      <c r="I169" t="s">
        <v>80</v>
      </c>
      <c r="J169">
        <v>2.31</v>
      </c>
      <c r="K169">
        <v>10</v>
      </c>
      <c r="L169">
        <v>0</v>
      </c>
      <c r="M169">
        <v>76</v>
      </c>
      <c r="N169">
        <v>10</v>
      </c>
      <c r="O169">
        <v>33</v>
      </c>
      <c r="P169">
        <v>15</v>
      </c>
      <c r="Q169">
        <v>12</v>
      </c>
      <c r="R169">
        <v>10</v>
      </c>
      <c r="S169">
        <v>28</v>
      </c>
      <c r="T169">
        <v>26</v>
      </c>
      <c r="U169">
        <v>10</v>
      </c>
      <c r="V169">
        <v>8</v>
      </c>
      <c r="W169">
        <v>33</v>
      </c>
      <c r="X169">
        <v>35</v>
      </c>
      <c r="Y169">
        <v>12</v>
      </c>
      <c r="Z169">
        <v>16</v>
      </c>
      <c r="AA169">
        <v>22</v>
      </c>
      <c r="AB169">
        <v>0</v>
      </c>
      <c r="AC169">
        <v>34</v>
      </c>
      <c r="AD169">
        <v>0</v>
      </c>
      <c r="AE169">
        <v>6</v>
      </c>
      <c r="AF169">
        <v>0</v>
      </c>
      <c r="AG169">
        <v>25</v>
      </c>
      <c r="AH169">
        <v>32</v>
      </c>
      <c r="AI169">
        <v>0</v>
      </c>
      <c r="AJ169">
        <v>15</v>
      </c>
      <c r="AK169">
        <v>22</v>
      </c>
      <c r="AL169">
        <v>0</v>
      </c>
      <c r="AM169">
        <v>14</v>
      </c>
      <c r="AN169">
        <v>2</v>
      </c>
      <c r="AO169">
        <v>0</v>
      </c>
      <c r="AP169">
        <v>16</v>
      </c>
      <c r="AQ169">
        <v>0</v>
      </c>
      <c r="AR169">
        <v>8</v>
      </c>
      <c r="AS169">
        <v>12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18</v>
      </c>
      <c r="BD169">
        <v>0</v>
      </c>
      <c r="BE169">
        <v>0</v>
      </c>
      <c r="BF169">
        <v>1</v>
      </c>
      <c r="BG169">
        <v>4</v>
      </c>
      <c r="BH169">
        <v>56</v>
      </c>
      <c r="BI169">
        <v>26</v>
      </c>
      <c r="BJ169">
        <v>54</v>
      </c>
      <c r="BK169">
        <v>68</v>
      </c>
      <c r="BL169">
        <v>0</v>
      </c>
      <c r="BM169">
        <v>104</v>
      </c>
      <c r="BN169">
        <v>50</v>
      </c>
      <c r="BO169">
        <v>36</v>
      </c>
      <c r="BP169">
        <v>4</v>
      </c>
      <c r="BQ169">
        <v>20</v>
      </c>
      <c r="BR169">
        <v>30</v>
      </c>
      <c r="BS169">
        <v>40</v>
      </c>
      <c r="BU169" s="1">
        <f>AVERAGE(Table9[[#This Row],[1-Jan-21]:[1-Dec-25]])</f>
        <v>16.883333333333333</v>
      </c>
    </row>
    <row r="170" spans="1:73" x14ac:dyDescent="0.55000000000000004">
      <c r="A170">
        <v>169</v>
      </c>
      <c r="B170" t="s">
        <v>71</v>
      </c>
      <c r="C170" t="s">
        <v>72</v>
      </c>
      <c r="D170" t="s">
        <v>73</v>
      </c>
      <c r="E170" t="s">
        <v>89</v>
      </c>
      <c r="F170">
        <v>109157</v>
      </c>
      <c r="G170" t="s">
        <v>290</v>
      </c>
      <c r="H170" t="s">
        <v>76</v>
      </c>
      <c r="I170" t="s">
        <v>80</v>
      </c>
      <c r="J170">
        <v>92.63</v>
      </c>
      <c r="K170">
        <v>22</v>
      </c>
      <c r="L170">
        <v>50</v>
      </c>
      <c r="M170">
        <v>35</v>
      </c>
      <c r="N170">
        <v>76</v>
      </c>
      <c r="O170">
        <v>84</v>
      </c>
      <c r="P170">
        <v>74</v>
      </c>
      <c r="Q170">
        <v>86</v>
      </c>
      <c r="R170">
        <v>39</v>
      </c>
      <c r="S170">
        <v>47</v>
      </c>
      <c r="T170">
        <v>12</v>
      </c>
      <c r="U170">
        <v>73</v>
      </c>
      <c r="V170">
        <v>66</v>
      </c>
      <c r="W170">
        <v>88</v>
      </c>
      <c r="X170">
        <v>58</v>
      </c>
      <c r="Y170">
        <v>22</v>
      </c>
      <c r="Z170">
        <v>110</v>
      </c>
      <c r="AA170">
        <v>29</v>
      </c>
      <c r="AB170">
        <v>30</v>
      </c>
      <c r="AC170">
        <v>6</v>
      </c>
      <c r="AD170">
        <v>0</v>
      </c>
      <c r="AE170">
        <v>16</v>
      </c>
      <c r="AF170">
        <v>62</v>
      </c>
      <c r="AG170">
        <v>32</v>
      </c>
      <c r="AH170">
        <v>43</v>
      </c>
      <c r="AI170">
        <v>25</v>
      </c>
      <c r="AJ170">
        <v>10</v>
      </c>
      <c r="AK170">
        <v>48</v>
      </c>
      <c r="AL170">
        <v>19</v>
      </c>
      <c r="AM170">
        <v>11</v>
      </c>
      <c r="AN170">
        <v>38</v>
      </c>
      <c r="AO170">
        <v>35</v>
      </c>
      <c r="AP170">
        <v>2</v>
      </c>
      <c r="AQ170">
        <v>8</v>
      </c>
      <c r="AR170">
        <v>6</v>
      </c>
      <c r="AS170">
        <v>29</v>
      </c>
      <c r="AT170">
        <v>36</v>
      </c>
      <c r="AU170">
        <v>20</v>
      </c>
      <c r="AV170">
        <v>10</v>
      </c>
      <c r="AW170">
        <v>6</v>
      </c>
      <c r="AX170">
        <v>5</v>
      </c>
      <c r="AY170">
        <v>24</v>
      </c>
      <c r="AZ170">
        <v>18</v>
      </c>
      <c r="BA170">
        <v>0</v>
      </c>
      <c r="BB170">
        <v>31</v>
      </c>
      <c r="BC170">
        <v>31</v>
      </c>
      <c r="BD170">
        <v>48</v>
      </c>
      <c r="BE170">
        <v>40</v>
      </c>
      <c r="BF170">
        <v>16</v>
      </c>
      <c r="BG170">
        <v>26</v>
      </c>
      <c r="BH170">
        <v>33</v>
      </c>
      <c r="BI170">
        <v>41</v>
      </c>
      <c r="BJ170">
        <v>86</v>
      </c>
      <c r="BK170">
        <v>101</v>
      </c>
      <c r="BL170">
        <v>5</v>
      </c>
      <c r="BM170">
        <v>2</v>
      </c>
      <c r="BN170">
        <v>34</v>
      </c>
      <c r="BO170">
        <v>36</v>
      </c>
      <c r="BP170">
        <v>20</v>
      </c>
      <c r="BQ170">
        <v>27</v>
      </c>
      <c r="BR170">
        <v>53</v>
      </c>
      <c r="BS170">
        <v>58</v>
      </c>
      <c r="BU170" s="1">
        <f>AVERAGE(Table9[[#This Row],[1-Jan-21]:[1-Dec-25]])</f>
        <v>35.666666666666664</v>
      </c>
    </row>
    <row r="171" spans="1:73" x14ac:dyDescent="0.55000000000000004">
      <c r="A171">
        <v>170</v>
      </c>
      <c r="B171" t="s">
        <v>71</v>
      </c>
      <c r="C171" t="s">
        <v>72</v>
      </c>
      <c r="D171" t="s">
        <v>73</v>
      </c>
      <c r="E171" t="s">
        <v>87</v>
      </c>
      <c r="F171">
        <v>107653</v>
      </c>
      <c r="G171" t="s">
        <v>291</v>
      </c>
      <c r="H171" t="s">
        <v>76</v>
      </c>
      <c r="I171" t="s">
        <v>80</v>
      </c>
      <c r="J171">
        <v>19.68</v>
      </c>
      <c r="K171">
        <v>54</v>
      </c>
      <c r="L171">
        <v>58</v>
      </c>
      <c r="M171">
        <v>87</v>
      </c>
      <c r="N171">
        <v>81</v>
      </c>
      <c r="O171">
        <v>91</v>
      </c>
      <c r="P171">
        <v>28</v>
      </c>
      <c r="Q171">
        <v>106</v>
      </c>
      <c r="R171">
        <v>42</v>
      </c>
      <c r="S171">
        <v>61</v>
      </c>
      <c r="T171">
        <v>124</v>
      </c>
      <c r="U171">
        <v>46</v>
      </c>
      <c r="V171">
        <v>144</v>
      </c>
      <c r="W171">
        <v>94</v>
      </c>
      <c r="X171">
        <v>29</v>
      </c>
      <c r="Y171">
        <v>14</v>
      </c>
      <c r="Z171">
        <v>37</v>
      </c>
      <c r="AA171">
        <v>54</v>
      </c>
      <c r="AB171">
        <v>116</v>
      </c>
      <c r="AC171">
        <v>31</v>
      </c>
      <c r="AD171">
        <v>40</v>
      </c>
      <c r="AE171">
        <v>0</v>
      </c>
      <c r="AF171">
        <v>0</v>
      </c>
      <c r="AG171">
        <v>48</v>
      </c>
      <c r="AH171">
        <v>32</v>
      </c>
      <c r="AI171">
        <v>22</v>
      </c>
      <c r="AJ171">
        <v>73</v>
      </c>
      <c r="AK171">
        <v>26</v>
      </c>
      <c r="AL171">
        <v>0</v>
      </c>
      <c r="AM171">
        <v>20</v>
      </c>
      <c r="AN171">
        <v>4</v>
      </c>
      <c r="AO171">
        <v>30</v>
      </c>
      <c r="AP171">
        <v>28</v>
      </c>
      <c r="AQ171">
        <v>12</v>
      </c>
      <c r="AR171">
        <v>26</v>
      </c>
      <c r="AS171">
        <v>69</v>
      </c>
      <c r="AT171">
        <v>26</v>
      </c>
      <c r="AU171">
        <v>16</v>
      </c>
      <c r="AV171">
        <v>20</v>
      </c>
      <c r="AW171">
        <v>32</v>
      </c>
      <c r="AX171">
        <v>42</v>
      </c>
      <c r="AY171">
        <v>85</v>
      </c>
      <c r="AZ171">
        <v>85</v>
      </c>
      <c r="BA171">
        <v>80</v>
      </c>
      <c r="BB171">
        <v>85</v>
      </c>
      <c r="BC171">
        <v>10</v>
      </c>
      <c r="BD171">
        <v>44</v>
      </c>
      <c r="BE171">
        <v>30</v>
      </c>
      <c r="BF171">
        <v>40</v>
      </c>
      <c r="BG171">
        <v>35</v>
      </c>
      <c r="BH171">
        <v>32</v>
      </c>
      <c r="BI171">
        <v>1436</v>
      </c>
      <c r="BJ171">
        <v>77</v>
      </c>
      <c r="BK171">
        <v>35</v>
      </c>
      <c r="BL171">
        <v>50</v>
      </c>
      <c r="BM171">
        <v>49</v>
      </c>
      <c r="BN171">
        <v>51</v>
      </c>
      <c r="BO171">
        <v>12</v>
      </c>
      <c r="BP171">
        <v>84</v>
      </c>
      <c r="BQ171">
        <v>3</v>
      </c>
      <c r="BR171">
        <v>70</v>
      </c>
      <c r="BS171">
        <v>57</v>
      </c>
      <c r="BU171" s="1">
        <f>AVERAGE(Table9[[#This Row],[1-Jan-21]:[1-Dec-25]])</f>
        <v>70.933333333333337</v>
      </c>
    </row>
    <row r="172" spans="1:73" x14ac:dyDescent="0.55000000000000004">
      <c r="A172">
        <v>171</v>
      </c>
      <c r="B172" t="s">
        <v>71</v>
      </c>
      <c r="C172" t="s">
        <v>72</v>
      </c>
      <c r="D172" t="s">
        <v>73</v>
      </c>
      <c r="E172" t="s">
        <v>258</v>
      </c>
      <c r="F172">
        <v>171252</v>
      </c>
      <c r="G172" t="s">
        <v>292</v>
      </c>
      <c r="H172" t="s">
        <v>76</v>
      </c>
      <c r="I172" t="s">
        <v>80</v>
      </c>
      <c r="J172">
        <v>52.11</v>
      </c>
      <c r="K172">
        <v>15</v>
      </c>
      <c r="L172">
        <v>25</v>
      </c>
      <c r="M172">
        <v>15</v>
      </c>
      <c r="N172">
        <v>15</v>
      </c>
      <c r="O172">
        <v>40</v>
      </c>
      <c r="P172">
        <v>27</v>
      </c>
      <c r="Q172">
        <v>20</v>
      </c>
      <c r="R172">
        <v>0</v>
      </c>
      <c r="S172">
        <v>58</v>
      </c>
      <c r="T172">
        <v>25</v>
      </c>
      <c r="U172">
        <v>8</v>
      </c>
      <c r="V172">
        <v>32</v>
      </c>
      <c r="W172">
        <v>20</v>
      </c>
      <c r="X172">
        <v>39</v>
      </c>
      <c r="Y172">
        <v>0</v>
      </c>
      <c r="Z172">
        <v>2</v>
      </c>
      <c r="AA172">
        <v>0</v>
      </c>
      <c r="AB172">
        <v>30</v>
      </c>
      <c r="AC172">
        <v>27</v>
      </c>
      <c r="AD172">
        <v>17</v>
      </c>
      <c r="AE172">
        <v>41</v>
      </c>
      <c r="AF172">
        <v>0</v>
      </c>
      <c r="AG172">
        <v>0</v>
      </c>
      <c r="AH172">
        <v>28</v>
      </c>
      <c r="AI172">
        <v>87</v>
      </c>
      <c r="AJ172">
        <v>80</v>
      </c>
      <c r="AK172">
        <v>150</v>
      </c>
      <c r="AL172">
        <v>146</v>
      </c>
      <c r="AM172">
        <v>51</v>
      </c>
      <c r="AN172">
        <v>119</v>
      </c>
      <c r="AO172">
        <v>12</v>
      </c>
      <c r="AP172">
        <v>8</v>
      </c>
      <c r="AQ172">
        <v>19</v>
      </c>
      <c r="AR172">
        <v>20</v>
      </c>
      <c r="AS172">
        <v>0</v>
      </c>
      <c r="AT172">
        <v>58</v>
      </c>
      <c r="AU172">
        <v>39</v>
      </c>
      <c r="AV172">
        <v>99</v>
      </c>
      <c r="AW172">
        <v>58</v>
      </c>
      <c r="AX172">
        <v>7</v>
      </c>
      <c r="AY172">
        <v>26</v>
      </c>
      <c r="AZ172">
        <v>6</v>
      </c>
      <c r="BA172">
        <v>8</v>
      </c>
      <c r="BB172">
        <v>54</v>
      </c>
      <c r="BC172">
        <v>16</v>
      </c>
      <c r="BD172">
        <v>41</v>
      </c>
      <c r="BE172">
        <v>33</v>
      </c>
      <c r="BF172">
        <v>39</v>
      </c>
      <c r="BG172">
        <v>49</v>
      </c>
      <c r="BH172">
        <v>41</v>
      </c>
      <c r="BI172">
        <v>19</v>
      </c>
      <c r="BJ172">
        <v>26</v>
      </c>
      <c r="BK172">
        <v>121</v>
      </c>
      <c r="BL172">
        <v>0</v>
      </c>
      <c r="BM172">
        <v>30</v>
      </c>
      <c r="BN172">
        <v>65</v>
      </c>
      <c r="BO172">
        <v>155</v>
      </c>
      <c r="BP172">
        <v>37</v>
      </c>
      <c r="BQ172">
        <v>52</v>
      </c>
      <c r="BR172">
        <v>0</v>
      </c>
      <c r="BS172">
        <v>52</v>
      </c>
      <c r="BU172" s="1">
        <f>AVERAGE(Table9[[#This Row],[1-Jan-21]:[1-Dec-25]])</f>
        <v>37.583333333333336</v>
      </c>
    </row>
    <row r="173" spans="1:73" x14ac:dyDescent="0.55000000000000004">
      <c r="A173">
        <v>172</v>
      </c>
      <c r="B173" t="s">
        <v>71</v>
      </c>
      <c r="C173" t="s">
        <v>72</v>
      </c>
      <c r="D173" t="s">
        <v>73</v>
      </c>
      <c r="E173" t="s">
        <v>111</v>
      </c>
      <c r="F173">
        <v>135808</v>
      </c>
      <c r="G173" t="s">
        <v>293</v>
      </c>
      <c r="H173" t="s">
        <v>76</v>
      </c>
      <c r="I173" t="s">
        <v>105</v>
      </c>
      <c r="J173">
        <v>67.150000000000006</v>
      </c>
      <c r="K173">
        <v>60</v>
      </c>
      <c r="L173">
        <v>82</v>
      </c>
      <c r="M173">
        <v>141</v>
      </c>
      <c r="N173">
        <v>77</v>
      </c>
      <c r="O173">
        <v>106</v>
      </c>
      <c r="P173">
        <v>154</v>
      </c>
      <c r="Q173">
        <v>40</v>
      </c>
      <c r="R173">
        <v>100</v>
      </c>
      <c r="S173">
        <v>130</v>
      </c>
      <c r="T173">
        <v>200.6</v>
      </c>
      <c r="U173">
        <v>167</v>
      </c>
      <c r="V173">
        <v>227.5</v>
      </c>
      <c r="W173">
        <v>172</v>
      </c>
      <c r="X173">
        <v>229.5</v>
      </c>
      <c r="Y173">
        <v>56</v>
      </c>
      <c r="Z173">
        <v>102</v>
      </c>
      <c r="AA173">
        <v>260</v>
      </c>
      <c r="AB173">
        <v>81</v>
      </c>
      <c r="AC173">
        <v>190</v>
      </c>
      <c r="AD173">
        <v>63</v>
      </c>
      <c r="AE173">
        <v>88.5</v>
      </c>
      <c r="AF173">
        <v>125</v>
      </c>
      <c r="AG173">
        <v>122</v>
      </c>
      <c r="AH173">
        <v>157.5</v>
      </c>
      <c r="AI173">
        <v>145.5</v>
      </c>
      <c r="AJ173">
        <v>135</v>
      </c>
      <c r="AK173">
        <v>295</v>
      </c>
      <c r="AL173">
        <v>0</v>
      </c>
      <c r="AM173">
        <v>141</v>
      </c>
      <c r="AN173">
        <v>213</v>
      </c>
      <c r="AO173">
        <v>100</v>
      </c>
      <c r="AP173">
        <v>103.5</v>
      </c>
      <c r="AQ173">
        <v>68</v>
      </c>
      <c r="AR173">
        <v>55</v>
      </c>
      <c r="AS173">
        <v>105.5</v>
      </c>
      <c r="AT173">
        <v>212</v>
      </c>
      <c r="AU173">
        <v>106</v>
      </c>
      <c r="AV173">
        <v>90</v>
      </c>
      <c r="AW173">
        <v>400.5</v>
      </c>
      <c r="AX173">
        <v>171</v>
      </c>
      <c r="AY173">
        <v>334</v>
      </c>
      <c r="AZ173">
        <v>128</v>
      </c>
      <c r="BA173">
        <v>58</v>
      </c>
      <c r="BB173">
        <v>100</v>
      </c>
      <c r="BC173">
        <v>111</v>
      </c>
      <c r="BD173">
        <v>131.5</v>
      </c>
      <c r="BE173">
        <v>163</v>
      </c>
      <c r="BF173">
        <v>96.5</v>
      </c>
      <c r="BG173">
        <v>258</v>
      </c>
      <c r="BH173">
        <v>140</v>
      </c>
      <c r="BI173">
        <v>192</v>
      </c>
      <c r="BJ173">
        <v>112</v>
      </c>
      <c r="BK173">
        <v>107</v>
      </c>
      <c r="BL173">
        <v>103</v>
      </c>
      <c r="BM173">
        <v>81</v>
      </c>
      <c r="BN173">
        <v>303</v>
      </c>
      <c r="BO173">
        <v>210.2</v>
      </c>
      <c r="BP173">
        <v>65</v>
      </c>
      <c r="BQ173">
        <v>120</v>
      </c>
      <c r="BR173">
        <v>284</v>
      </c>
      <c r="BS173">
        <v>59</v>
      </c>
      <c r="BU173" s="1">
        <f>AVERAGE(Table9[[#This Row],[1-Jan-21]:[1-Dec-25]])</f>
        <v>142.82999999999998</v>
      </c>
    </row>
    <row r="174" spans="1:73" x14ac:dyDescent="0.55000000000000004">
      <c r="A174">
        <v>173</v>
      </c>
      <c r="B174" t="s">
        <v>71</v>
      </c>
      <c r="C174" t="s">
        <v>72</v>
      </c>
      <c r="D174" t="s">
        <v>73</v>
      </c>
      <c r="E174" t="s">
        <v>116</v>
      </c>
      <c r="F174">
        <v>110885</v>
      </c>
      <c r="G174" t="s">
        <v>294</v>
      </c>
      <c r="H174" t="s">
        <v>76</v>
      </c>
      <c r="I174" t="s">
        <v>80</v>
      </c>
      <c r="J174">
        <v>11.9</v>
      </c>
      <c r="K174">
        <v>95</v>
      </c>
      <c r="L174">
        <v>42</v>
      </c>
      <c r="M174">
        <v>45</v>
      </c>
      <c r="N174">
        <v>35</v>
      </c>
      <c r="O174">
        <v>24</v>
      </c>
      <c r="P174">
        <v>99</v>
      </c>
      <c r="Q174">
        <v>5</v>
      </c>
      <c r="R174">
        <v>91</v>
      </c>
      <c r="S174">
        <v>55</v>
      </c>
      <c r="T174">
        <v>54</v>
      </c>
      <c r="U174">
        <v>39</v>
      </c>
      <c r="V174">
        <v>25</v>
      </c>
      <c r="W174">
        <v>19</v>
      </c>
      <c r="X174">
        <v>45</v>
      </c>
      <c r="Y174">
        <v>50</v>
      </c>
      <c r="Z174">
        <v>54</v>
      </c>
      <c r="AA174">
        <v>75</v>
      </c>
      <c r="AB174">
        <v>25</v>
      </c>
      <c r="AC174">
        <v>0</v>
      </c>
      <c r="AD174">
        <v>35</v>
      </c>
      <c r="AE174">
        <v>5</v>
      </c>
      <c r="AF174">
        <v>77</v>
      </c>
      <c r="AG174">
        <v>39</v>
      </c>
      <c r="AH174">
        <v>25</v>
      </c>
      <c r="AI174">
        <v>4</v>
      </c>
      <c r="AJ174">
        <v>7</v>
      </c>
      <c r="AK174">
        <v>3</v>
      </c>
      <c r="AL174">
        <v>6</v>
      </c>
      <c r="AM174">
        <v>21</v>
      </c>
      <c r="AN174">
        <v>33</v>
      </c>
      <c r="AO174">
        <v>9</v>
      </c>
      <c r="AP174">
        <v>48</v>
      </c>
      <c r="AQ174">
        <v>55</v>
      </c>
      <c r="AR174">
        <v>40</v>
      </c>
      <c r="AS174">
        <v>24</v>
      </c>
      <c r="AT174">
        <v>3</v>
      </c>
      <c r="AU174">
        <v>14</v>
      </c>
      <c r="AV174">
        <v>3</v>
      </c>
      <c r="AW174">
        <v>58</v>
      </c>
      <c r="AX174">
        <v>18</v>
      </c>
      <c r="AY174">
        <v>20</v>
      </c>
      <c r="AZ174">
        <v>1</v>
      </c>
      <c r="BA174">
        <v>23</v>
      </c>
      <c r="BB174">
        <v>47</v>
      </c>
      <c r="BC174">
        <v>83</v>
      </c>
      <c r="BD174">
        <v>134</v>
      </c>
      <c r="BE174">
        <v>63</v>
      </c>
      <c r="BF174">
        <v>68</v>
      </c>
      <c r="BG174">
        <v>6</v>
      </c>
      <c r="BH174">
        <v>15</v>
      </c>
      <c r="BI174">
        <v>32</v>
      </c>
      <c r="BJ174">
        <v>82</v>
      </c>
      <c r="BK174">
        <v>44</v>
      </c>
      <c r="BL174">
        <v>1002</v>
      </c>
      <c r="BM174">
        <v>151</v>
      </c>
      <c r="BN174">
        <v>32</v>
      </c>
      <c r="BO174">
        <v>4</v>
      </c>
      <c r="BP174">
        <v>243</v>
      </c>
      <c r="BQ174">
        <v>189</v>
      </c>
      <c r="BR174">
        <v>6</v>
      </c>
      <c r="BS174">
        <v>59</v>
      </c>
      <c r="BU174" s="1">
        <f>AVERAGE(Table9[[#This Row],[1-Jan-21]:[1-Dec-25]])</f>
        <v>60.81666666666667</v>
      </c>
    </row>
    <row r="175" spans="1:73" x14ac:dyDescent="0.55000000000000004">
      <c r="A175">
        <v>174</v>
      </c>
      <c r="B175" t="s">
        <v>71</v>
      </c>
      <c r="C175" t="s">
        <v>72</v>
      </c>
      <c r="D175" t="s">
        <v>73</v>
      </c>
      <c r="E175" t="s">
        <v>116</v>
      </c>
      <c r="F175">
        <v>110892</v>
      </c>
      <c r="G175" t="s">
        <v>295</v>
      </c>
      <c r="H175" t="s">
        <v>76</v>
      </c>
      <c r="I175" t="s">
        <v>80</v>
      </c>
      <c r="J175">
        <v>33.340000000000003</v>
      </c>
      <c r="K175">
        <v>3</v>
      </c>
      <c r="L175">
        <v>5</v>
      </c>
      <c r="M175">
        <v>2</v>
      </c>
      <c r="N175">
        <v>10</v>
      </c>
      <c r="O175">
        <v>5</v>
      </c>
      <c r="P175">
        <v>2</v>
      </c>
      <c r="Q175">
        <v>0</v>
      </c>
      <c r="R175">
        <v>9</v>
      </c>
      <c r="S175">
        <v>14</v>
      </c>
      <c r="T175">
        <v>11</v>
      </c>
      <c r="U175">
        <v>22</v>
      </c>
      <c r="V175">
        <v>6</v>
      </c>
      <c r="W175">
        <v>8</v>
      </c>
      <c r="X175">
        <v>12</v>
      </c>
      <c r="Y175">
        <v>37</v>
      </c>
      <c r="Z175">
        <v>10</v>
      </c>
      <c r="AA175">
        <v>0</v>
      </c>
      <c r="AB175">
        <v>10</v>
      </c>
      <c r="AC175">
        <v>5</v>
      </c>
      <c r="AD175">
        <v>5</v>
      </c>
      <c r="AE175">
        <v>5</v>
      </c>
      <c r="AF175">
        <v>8</v>
      </c>
      <c r="AG175">
        <v>0</v>
      </c>
      <c r="AH175">
        <v>10</v>
      </c>
      <c r="AI175">
        <v>6</v>
      </c>
      <c r="AJ175">
        <v>0</v>
      </c>
      <c r="AK175">
        <v>0</v>
      </c>
      <c r="AL175">
        <v>9</v>
      </c>
      <c r="AM175">
        <v>8</v>
      </c>
      <c r="AN175">
        <v>4</v>
      </c>
      <c r="AO175">
        <v>16</v>
      </c>
      <c r="AP175">
        <v>7</v>
      </c>
      <c r="AQ175">
        <v>4</v>
      </c>
      <c r="AR175">
        <v>4</v>
      </c>
      <c r="AS175">
        <v>3</v>
      </c>
      <c r="AT175">
        <v>0</v>
      </c>
      <c r="AU175">
        <v>3</v>
      </c>
      <c r="AV175">
        <v>6</v>
      </c>
      <c r="AW175">
        <v>2</v>
      </c>
      <c r="AX175">
        <v>0</v>
      </c>
      <c r="AY175">
        <v>6</v>
      </c>
      <c r="AZ175">
        <v>6</v>
      </c>
      <c r="BA175">
        <v>8</v>
      </c>
      <c r="BB175">
        <v>10</v>
      </c>
      <c r="BC175">
        <v>11</v>
      </c>
      <c r="BD175">
        <v>2</v>
      </c>
      <c r="BE175">
        <v>10</v>
      </c>
      <c r="BF175">
        <v>8</v>
      </c>
      <c r="BG175">
        <v>0</v>
      </c>
      <c r="BH175">
        <v>4</v>
      </c>
      <c r="BI175">
        <v>7</v>
      </c>
      <c r="BJ175">
        <v>7</v>
      </c>
      <c r="BK175">
        <v>5</v>
      </c>
      <c r="BL175">
        <v>1</v>
      </c>
      <c r="BM175">
        <v>0</v>
      </c>
      <c r="BN175">
        <v>4</v>
      </c>
      <c r="BO175">
        <v>0</v>
      </c>
      <c r="BP175">
        <v>2</v>
      </c>
      <c r="BQ175">
        <v>0</v>
      </c>
      <c r="BR175">
        <v>4</v>
      </c>
      <c r="BS175">
        <v>49</v>
      </c>
      <c r="BU175" s="1">
        <f>AVERAGE(Table9[[#This Row],[1-Jan-21]:[1-Dec-25]])</f>
        <v>6.1</v>
      </c>
    </row>
    <row r="176" spans="1:73" x14ac:dyDescent="0.55000000000000004">
      <c r="A176">
        <v>175</v>
      </c>
      <c r="B176" t="s">
        <v>71</v>
      </c>
      <c r="C176" t="s">
        <v>72</v>
      </c>
      <c r="D176" t="s">
        <v>73</v>
      </c>
      <c r="E176" t="s">
        <v>116</v>
      </c>
      <c r="F176">
        <v>110905</v>
      </c>
      <c r="G176" t="s">
        <v>296</v>
      </c>
      <c r="H176" t="s">
        <v>76</v>
      </c>
      <c r="I176" t="s">
        <v>80</v>
      </c>
      <c r="J176">
        <v>14.74</v>
      </c>
      <c r="K176">
        <v>39</v>
      </c>
      <c r="L176">
        <v>51</v>
      </c>
      <c r="M176">
        <v>167</v>
      </c>
      <c r="N176">
        <v>96</v>
      </c>
      <c r="O176">
        <v>47</v>
      </c>
      <c r="P176">
        <v>111</v>
      </c>
      <c r="Q176">
        <v>77</v>
      </c>
      <c r="R176">
        <v>109</v>
      </c>
      <c r="S176">
        <v>99</v>
      </c>
      <c r="T176">
        <v>131</v>
      </c>
      <c r="U176">
        <v>55</v>
      </c>
      <c r="V176">
        <v>41</v>
      </c>
      <c r="W176">
        <v>140</v>
      </c>
      <c r="X176">
        <v>107</v>
      </c>
      <c r="Y176">
        <v>52</v>
      </c>
      <c r="Z176">
        <v>134</v>
      </c>
      <c r="AA176">
        <v>97</v>
      </c>
      <c r="AB176">
        <v>126</v>
      </c>
      <c r="AC176">
        <v>50</v>
      </c>
      <c r="AD176">
        <v>75</v>
      </c>
      <c r="AE176">
        <v>105</v>
      </c>
      <c r="AF176">
        <v>77</v>
      </c>
      <c r="AG176">
        <v>55</v>
      </c>
      <c r="AH176">
        <v>62</v>
      </c>
      <c r="AI176">
        <v>29</v>
      </c>
      <c r="AJ176">
        <v>55</v>
      </c>
      <c r="AK176">
        <v>34</v>
      </c>
      <c r="AL176">
        <v>61</v>
      </c>
      <c r="AM176">
        <v>82</v>
      </c>
      <c r="AN176">
        <v>19</v>
      </c>
      <c r="AO176">
        <v>160</v>
      </c>
      <c r="AP176">
        <v>40</v>
      </c>
      <c r="AQ176">
        <v>19</v>
      </c>
      <c r="AR176">
        <v>32</v>
      </c>
      <c r="AS176">
        <v>49</v>
      </c>
      <c r="AT176">
        <v>51</v>
      </c>
      <c r="AU176">
        <v>66</v>
      </c>
      <c r="AV176">
        <v>34</v>
      </c>
      <c r="AW176">
        <v>56</v>
      </c>
      <c r="AX176">
        <v>84</v>
      </c>
      <c r="AY176">
        <v>113</v>
      </c>
      <c r="AZ176">
        <v>95</v>
      </c>
      <c r="BA176">
        <v>78</v>
      </c>
      <c r="BB176">
        <v>38</v>
      </c>
      <c r="BC176">
        <v>114</v>
      </c>
      <c r="BD176">
        <v>35</v>
      </c>
      <c r="BE176">
        <v>87</v>
      </c>
      <c r="BF176">
        <v>76</v>
      </c>
      <c r="BG176">
        <v>26</v>
      </c>
      <c r="BH176">
        <v>62</v>
      </c>
      <c r="BI176">
        <v>50</v>
      </c>
      <c r="BJ176">
        <v>112</v>
      </c>
      <c r="BK176">
        <v>90</v>
      </c>
      <c r="BL176">
        <v>44</v>
      </c>
      <c r="BM176">
        <v>100</v>
      </c>
      <c r="BN176">
        <v>80</v>
      </c>
      <c r="BO176">
        <v>56</v>
      </c>
      <c r="BP176">
        <v>84</v>
      </c>
      <c r="BQ176">
        <v>40</v>
      </c>
      <c r="BR176">
        <v>42</v>
      </c>
      <c r="BS176">
        <v>60</v>
      </c>
      <c r="BU176" s="1">
        <f>AVERAGE(Table9[[#This Row],[1-Jan-21]:[1-Dec-25]])</f>
        <v>73.266666666666666</v>
      </c>
    </row>
    <row r="177" spans="1:73" x14ac:dyDescent="0.55000000000000004">
      <c r="A177">
        <v>176</v>
      </c>
      <c r="B177" t="s">
        <v>71</v>
      </c>
      <c r="C177" t="s">
        <v>72</v>
      </c>
      <c r="D177" t="s">
        <v>73</v>
      </c>
      <c r="E177" t="s">
        <v>114</v>
      </c>
      <c r="F177">
        <v>109632</v>
      </c>
      <c r="G177" t="s">
        <v>297</v>
      </c>
      <c r="H177" t="s">
        <v>76</v>
      </c>
      <c r="I177" t="s">
        <v>80</v>
      </c>
      <c r="J177">
        <v>50.61</v>
      </c>
      <c r="K177">
        <v>1</v>
      </c>
      <c r="L177">
        <v>13</v>
      </c>
      <c r="M177">
        <v>21</v>
      </c>
      <c r="N177">
        <v>25</v>
      </c>
      <c r="O177">
        <v>0</v>
      </c>
      <c r="P177">
        <v>8</v>
      </c>
      <c r="Q177">
        <v>0</v>
      </c>
      <c r="R177">
        <v>2</v>
      </c>
      <c r="S177">
        <v>10</v>
      </c>
      <c r="T177">
        <v>3</v>
      </c>
      <c r="U177">
        <v>23</v>
      </c>
      <c r="V177">
        <v>4</v>
      </c>
      <c r="W177">
        <v>5</v>
      </c>
      <c r="X177">
        <v>8</v>
      </c>
      <c r="Y177">
        <v>3</v>
      </c>
      <c r="Z177">
        <v>0</v>
      </c>
      <c r="AA177">
        <v>8</v>
      </c>
      <c r="AB177">
        <v>4</v>
      </c>
      <c r="AC177">
        <v>6</v>
      </c>
      <c r="AD177">
        <v>0</v>
      </c>
      <c r="AE177">
        <v>0</v>
      </c>
      <c r="AF177">
        <v>0</v>
      </c>
      <c r="AG177">
        <v>3</v>
      </c>
      <c r="AH177">
        <v>2</v>
      </c>
      <c r="AI177">
        <v>5</v>
      </c>
      <c r="AJ177">
        <v>4</v>
      </c>
      <c r="AK177">
        <v>1</v>
      </c>
      <c r="AL177">
        <v>2</v>
      </c>
      <c r="AM177">
        <v>1</v>
      </c>
      <c r="AN177">
        <v>3</v>
      </c>
      <c r="AO177">
        <v>8</v>
      </c>
      <c r="AP177">
        <v>8</v>
      </c>
      <c r="AQ177">
        <v>4</v>
      </c>
      <c r="AR177">
        <v>5</v>
      </c>
      <c r="AS177">
        <v>6</v>
      </c>
      <c r="AT177">
        <v>6</v>
      </c>
      <c r="AU177">
        <v>21</v>
      </c>
      <c r="AV177">
        <v>4</v>
      </c>
      <c r="AW177">
        <v>10</v>
      </c>
      <c r="AX177">
        <v>4</v>
      </c>
      <c r="AY177">
        <v>2</v>
      </c>
      <c r="AZ177">
        <v>14</v>
      </c>
      <c r="BA177">
        <v>0</v>
      </c>
      <c r="BB177">
        <v>1</v>
      </c>
      <c r="BC177">
        <v>7</v>
      </c>
      <c r="BD177">
        <v>2</v>
      </c>
      <c r="BE177">
        <v>11</v>
      </c>
      <c r="BF177">
        <v>3</v>
      </c>
      <c r="BG177">
        <v>7</v>
      </c>
      <c r="BH177">
        <v>3</v>
      </c>
      <c r="BI177">
        <v>0</v>
      </c>
      <c r="BJ177">
        <v>0</v>
      </c>
      <c r="BK177">
        <v>0</v>
      </c>
      <c r="BL177">
        <v>9</v>
      </c>
      <c r="BM177">
        <v>2</v>
      </c>
      <c r="BN177">
        <v>0</v>
      </c>
      <c r="BO177">
        <v>5</v>
      </c>
      <c r="BP177">
        <v>0</v>
      </c>
      <c r="BQ177">
        <v>2</v>
      </c>
      <c r="BR177">
        <v>0</v>
      </c>
      <c r="BS177">
        <v>47</v>
      </c>
      <c r="BU177" s="1">
        <f>AVERAGE(Table9[[#This Row],[1-Jan-21]:[1-Dec-25]])</f>
        <v>5.15</v>
      </c>
    </row>
    <row r="178" spans="1:73" x14ac:dyDescent="0.55000000000000004">
      <c r="A178">
        <v>177</v>
      </c>
      <c r="B178" t="s">
        <v>71</v>
      </c>
      <c r="C178" t="s">
        <v>72</v>
      </c>
      <c r="D178" t="s">
        <v>73</v>
      </c>
      <c r="E178" t="s">
        <v>87</v>
      </c>
      <c r="F178">
        <v>107719</v>
      </c>
      <c r="G178" t="s">
        <v>298</v>
      </c>
      <c r="H178" t="s">
        <v>76</v>
      </c>
      <c r="I178" t="s">
        <v>80</v>
      </c>
      <c r="J178">
        <v>5.78</v>
      </c>
      <c r="K178">
        <v>35</v>
      </c>
      <c r="L178">
        <v>50</v>
      </c>
      <c r="M178">
        <v>130</v>
      </c>
      <c r="N178">
        <v>23</v>
      </c>
      <c r="O178">
        <v>16</v>
      </c>
      <c r="P178">
        <v>50</v>
      </c>
      <c r="Q178">
        <v>0</v>
      </c>
      <c r="R178">
        <v>60</v>
      </c>
      <c r="S178">
        <v>40</v>
      </c>
      <c r="T178">
        <v>83</v>
      </c>
      <c r="U178">
        <v>59</v>
      </c>
      <c r="V178">
        <v>20</v>
      </c>
      <c r="W178">
        <v>10</v>
      </c>
      <c r="X178">
        <v>133</v>
      </c>
      <c r="Y178">
        <v>40</v>
      </c>
      <c r="Z178">
        <v>14</v>
      </c>
      <c r="AA178">
        <v>0</v>
      </c>
      <c r="AB178">
        <v>10</v>
      </c>
      <c r="AC178">
        <v>0</v>
      </c>
      <c r="AD178">
        <v>110</v>
      </c>
      <c r="AE178">
        <v>70</v>
      </c>
      <c r="AF178">
        <v>25</v>
      </c>
      <c r="AG178">
        <v>0</v>
      </c>
      <c r="AH178">
        <v>0</v>
      </c>
      <c r="AI178">
        <v>29</v>
      </c>
      <c r="AJ178">
        <v>37</v>
      </c>
      <c r="AK178">
        <v>15</v>
      </c>
      <c r="AL178">
        <v>0</v>
      </c>
      <c r="AM178">
        <v>40</v>
      </c>
      <c r="AN178">
        <v>10</v>
      </c>
      <c r="AO178">
        <v>24</v>
      </c>
      <c r="AP178">
        <v>8</v>
      </c>
      <c r="AQ178">
        <v>1</v>
      </c>
      <c r="AR178">
        <v>4</v>
      </c>
      <c r="AS178">
        <v>0</v>
      </c>
      <c r="AT178">
        <v>10</v>
      </c>
      <c r="AU178">
        <v>8</v>
      </c>
      <c r="AV178">
        <v>0</v>
      </c>
      <c r="AW178">
        <v>0</v>
      </c>
      <c r="AX178">
        <v>0</v>
      </c>
      <c r="AY178">
        <v>10</v>
      </c>
      <c r="AZ178">
        <v>12</v>
      </c>
      <c r="BA178">
        <v>22</v>
      </c>
      <c r="BB178">
        <v>0</v>
      </c>
      <c r="BC178">
        <v>10</v>
      </c>
      <c r="BD178">
        <v>15</v>
      </c>
      <c r="BE178">
        <v>45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20</v>
      </c>
      <c r="BL178">
        <v>6</v>
      </c>
      <c r="BM178">
        <v>39</v>
      </c>
      <c r="BN178">
        <v>0</v>
      </c>
      <c r="BO178">
        <v>52</v>
      </c>
      <c r="BP178">
        <v>30</v>
      </c>
      <c r="BQ178">
        <v>30</v>
      </c>
      <c r="BR178">
        <v>0</v>
      </c>
      <c r="BS178">
        <v>42</v>
      </c>
      <c r="BU178" s="1">
        <f>AVERAGE(Table9[[#This Row],[1-Jan-21]:[1-Dec-25]])</f>
        <v>24.25</v>
      </c>
    </row>
    <row r="179" spans="1:73" x14ac:dyDescent="0.55000000000000004">
      <c r="A179">
        <v>178</v>
      </c>
      <c r="B179" t="s">
        <v>71</v>
      </c>
      <c r="C179" t="s">
        <v>72</v>
      </c>
      <c r="D179" t="s">
        <v>73</v>
      </c>
      <c r="E179" t="s">
        <v>111</v>
      </c>
      <c r="F179">
        <v>109858</v>
      </c>
      <c r="G179" t="s">
        <v>299</v>
      </c>
      <c r="H179" t="s">
        <v>76</v>
      </c>
      <c r="I179" t="s">
        <v>105</v>
      </c>
      <c r="J179">
        <v>22</v>
      </c>
      <c r="K179">
        <v>167</v>
      </c>
      <c r="L179">
        <v>50</v>
      </c>
      <c r="M179">
        <v>20</v>
      </c>
      <c r="N179">
        <v>15</v>
      </c>
      <c r="O179">
        <v>10</v>
      </c>
      <c r="P179">
        <v>90</v>
      </c>
      <c r="Q179">
        <v>100</v>
      </c>
      <c r="R179">
        <v>290</v>
      </c>
      <c r="S179">
        <v>950</v>
      </c>
      <c r="T179">
        <v>120</v>
      </c>
      <c r="U179">
        <v>340</v>
      </c>
      <c r="V179">
        <v>66</v>
      </c>
      <c r="W179">
        <v>170</v>
      </c>
      <c r="X179">
        <v>325</v>
      </c>
      <c r="Y179">
        <v>160</v>
      </c>
      <c r="Z179">
        <v>300</v>
      </c>
      <c r="AA179">
        <v>130</v>
      </c>
      <c r="AB179">
        <v>0</v>
      </c>
      <c r="AC179">
        <v>70</v>
      </c>
      <c r="AD179">
        <v>120</v>
      </c>
      <c r="AE179">
        <v>50</v>
      </c>
      <c r="AF179">
        <v>210</v>
      </c>
      <c r="AG179">
        <v>10</v>
      </c>
      <c r="AH179">
        <v>30</v>
      </c>
      <c r="AI179">
        <v>220</v>
      </c>
      <c r="AJ179">
        <v>133</v>
      </c>
      <c r="AK179">
        <v>0</v>
      </c>
      <c r="AL179">
        <v>0</v>
      </c>
      <c r="AM179">
        <v>100</v>
      </c>
      <c r="AN179">
        <v>143</v>
      </c>
      <c r="AO179">
        <v>50</v>
      </c>
      <c r="AP179">
        <v>114</v>
      </c>
      <c r="AQ179">
        <v>0</v>
      </c>
      <c r="AR179">
        <v>0</v>
      </c>
      <c r="AS179">
        <v>5</v>
      </c>
      <c r="AT179">
        <v>135</v>
      </c>
      <c r="AU179">
        <v>105</v>
      </c>
      <c r="AV179">
        <v>30</v>
      </c>
      <c r="AW179">
        <v>162</v>
      </c>
      <c r="AX179">
        <v>80</v>
      </c>
      <c r="AY179">
        <v>249</v>
      </c>
      <c r="AZ179">
        <v>30</v>
      </c>
      <c r="BA179">
        <v>75</v>
      </c>
      <c r="BB179">
        <v>140</v>
      </c>
      <c r="BC179">
        <v>40</v>
      </c>
      <c r="BD179">
        <v>215</v>
      </c>
      <c r="BE179">
        <v>330</v>
      </c>
      <c r="BF179">
        <v>30</v>
      </c>
      <c r="BG179">
        <v>225</v>
      </c>
      <c r="BH179">
        <v>991</v>
      </c>
      <c r="BI179">
        <v>350</v>
      </c>
      <c r="BJ179">
        <v>30</v>
      </c>
      <c r="BK179">
        <v>120</v>
      </c>
      <c r="BL179">
        <v>130</v>
      </c>
      <c r="BM179">
        <v>50</v>
      </c>
      <c r="BN179">
        <v>0</v>
      </c>
      <c r="BO179">
        <v>0</v>
      </c>
      <c r="BP179">
        <v>0</v>
      </c>
      <c r="BQ179">
        <v>100</v>
      </c>
      <c r="BR179">
        <v>100</v>
      </c>
      <c r="BS179">
        <v>52</v>
      </c>
      <c r="BU179" s="1">
        <f>AVERAGE(Table9[[#This Row],[1-Jan-21]:[1-Dec-25]])</f>
        <v>137.91666666666666</v>
      </c>
    </row>
    <row r="180" spans="1:73" x14ac:dyDescent="0.55000000000000004">
      <c r="A180">
        <v>179</v>
      </c>
      <c r="B180" t="s">
        <v>71</v>
      </c>
      <c r="C180" t="s">
        <v>72</v>
      </c>
      <c r="D180" t="s">
        <v>73</v>
      </c>
      <c r="E180" t="s">
        <v>184</v>
      </c>
      <c r="F180">
        <v>148888</v>
      </c>
      <c r="G180" t="s">
        <v>300</v>
      </c>
      <c r="H180" t="s">
        <v>76</v>
      </c>
      <c r="I180" t="s">
        <v>80</v>
      </c>
      <c r="J180">
        <v>7.19</v>
      </c>
      <c r="K180">
        <v>56</v>
      </c>
      <c r="L180">
        <v>20</v>
      </c>
      <c r="M180">
        <v>71</v>
      </c>
      <c r="N180">
        <v>38</v>
      </c>
      <c r="O180">
        <v>30</v>
      </c>
      <c r="P180">
        <v>20</v>
      </c>
      <c r="Q180">
        <v>35</v>
      </c>
      <c r="R180">
        <v>130</v>
      </c>
      <c r="S180">
        <v>115</v>
      </c>
      <c r="T180">
        <v>140</v>
      </c>
      <c r="U180">
        <v>128</v>
      </c>
      <c r="V180">
        <v>60</v>
      </c>
      <c r="W180">
        <v>181</v>
      </c>
      <c r="X180">
        <v>250</v>
      </c>
      <c r="Y180">
        <v>66</v>
      </c>
      <c r="Z180">
        <v>230</v>
      </c>
      <c r="AA180">
        <v>320</v>
      </c>
      <c r="AB180">
        <v>8</v>
      </c>
      <c r="AC180">
        <v>100</v>
      </c>
      <c r="AD180">
        <v>50</v>
      </c>
      <c r="AE180">
        <v>10</v>
      </c>
      <c r="AF180">
        <v>148</v>
      </c>
      <c r="AG180">
        <v>59</v>
      </c>
      <c r="AH180">
        <v>150</v>
      </c>
      <c r="AI180">
        <v>150</v>
      </c>
      <c r="AJ180">
        <v>100</v>
      </c>
      <c r="AK180">
        <v>60</v>
      </c>
      <c r="AL180">
        <v>150</v>
      </c>
      <c r="AM180">
        <v>50</v>
      </c>
      <c r="AN180">
        <v>50</v>
      </c>
      <c r="AO180">
        <v>58</v>
      </c>
      <c r="AP180">
        <v>75</v>
      </c>
      <c r="AQ180">
        <v>92</v>
      </c>
      <c r="AR180">
        <v>60</v>
      </c>
      <c r="AS180">
        <v>50</v>
      </c>
      <c r="AT180">
        <v>84</v>
      </c>
      <c r="AU180">
        <v>0</v>
      </c>
      <c r="AV180">
        <v>5</v>
      </c>
      <c r="AW180">
        <v>0</v>
      </c>
      <c r="AX180">
        <v>5</v>
      </c>
      <c r="AY180">
        <v>25</v>
      </c>
      <c r="AZ180">
        <v>0</v>
      </c>
      <c r="BA180">
        <v>0</v>
      </c>
      <c r="BB180">
        <v>0</v>
      </c>
      <c r="BC180">
        <v>23</v>
      </c>
      <c r="BD180">
        <v>10</v>
      </c>
      <c r="BE180">
        <v>27</v>
      </c>
      <c r="BF180">
        <v>30</v>
      </c>
      <c r="BG180">
        <v>12</v>
      </c>
      <c r="BH180">
        <v>35</v>
      </c>
      <c r="BI180">
        <v>32</v>
      </c>
      <c r="BJ180">
        <v>4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47</v>
      </c>
      <c r="BU180" s="1">
        <f>AVERAGE(Table9[[#This Row],[1-Jan-21]:[1-Dec-25]])</f>
        <v>60.033333333333331</v>
      </c>
    </row>
    <row r="181" spans="1:73" x14ac:dyDescent="0.55000000000000004">
      <c r="A181">
        <v>180</v>
      </c>
      <c r="B181" t="s">
        <v>71</v>
      </c>
      <c r="C181" t="s">
        <v>72</v>
      </c>
      <c r="D181" t="s">
        <v>73</v>
      </c>
      <c r="E181" t="s">
        <v>184</v>
      </c>
      <c r="F181">
        <v>107792</v>
      </c>
      <c r="G181" t="s">
        <v>301</v>
      </c>
      <c r="H181" t="s">
        <v>76</v>
      </c>
      <c r="I181" t="s">
        <v>80</v>
      </c>
      <c r="J181">
        <v>4.68</v>
      </c>
      <c r="K181">
        <v>30</v>
      </c>
      <c r="L181">
        <v>0</v>
      </c>
      <c r="M181">
        <v>60</v>
      </c>
      <c r="N181">
        <v>30</v>
      </c>
      <c r="O181">
        <v>84</v>
      </c>
      <c r="P181">
        <v>32</v>
      </c>
      <c r="Q181">
        <v>50</v>
      </c>
      <c r="R181">
        <v>0</v>
      </c>
      <c r="S181">
        <v>35</v>
      </c>
      <c r="T181">
        <v>90</v>
      </c>
      <c r="U181">
        <v>36</v>
      </c>
      <c r="V181">
        <v>37</v>
      </c>
      <c r="W181">
        <v>73</v>
      </c>
      <c r="X181">
        <v>80</v>
      </c>
      <c r="Y181">
        <v>75</v>
      </c>
      <c r="Z181">
        <v>80</v>
      </c>
      <c r="AA181">
        <v>5</v>
      </c>
      <c r="AB181">
        <v>50</v>
      </c>
      <c r="AC181">
        <v>20</v>
      </c>
      <c r="AD181">
        <v>0</v>
      </c>
      <c r="AE181">
        <v>0</v>
      </c>
      <c r="AF181">
        <v>104</v>
      </c>
      <c r="AG181">
        <v>0</v>
      </c>
      <c r="AH181">
        <v>2</v>
      </c>
      <c r="AI181">
        <v>0</v>
      </c>
      <c r="AJ181">
        <v>34</v>
      </c>
      <c r="AK181">
        <v>23</v>
      </c>
      <c r="AL181">
        <v>0</v>
      </c>
      <c r="AM181">
        <v>39</v>
      </c>
      <c r="AN181">
        <v>20</v>
      </c>
      <c r="AO181">
        <v>45</v>
      </c>
      <c r="AP181">
        <v>32</v>
      </c>
      <c r="AQ181">
        <v>2</v>
      </c>
      <c r="AR181">
        <v>38</v>
      </c>
      <c r="AS181">
        <v>0</v>
      </c>
      <c r="AT181">
        <v>36</v>
      </c>
      <c r="AU181">
        <v>49</v>
      </c>
      <c r="AV181">
        <v>55</v>
      </c>
      <c r="AW181">
        <v>39</v>
      </c>
      <c r="AX181">
        <v>20</v>
      </c>
      <c r="AY181">
        <v>15</v>
      </c>
      <c r="AZ181">
        <v>12</v>
      </c>
      <c r="BA181">
        <v>10</v>
      </c>
      <c r="BB181">
        <v>10</v>
      </c>
      <c r="BC181">
        <v>41</v>
      </c>
      <c r="BD181">
        <v>37</v>
      </c>
      <c r="BE181">
        <v>52</v>
      </c>
      <c r="BF181">
        <v>18</v>
      </c>
      <c r="BG181">
        <v>64</v>
      </c>
      <c r="BH181">
        <v>60</v>
      </c>
      <c r="BI181">
        <v>92</v>
      </c>
      <c r="BJ181">
        <v>30</v>
      </c>
      <c r="BK181">
        <v>0</v>
      </c>
      <c r="BL181">
        <v>20</v>
      </c>
      <c r="BM181">
        <v>25</v>
      </c>
      <c r="BN181">
        <v>55</v>
      </c>
      <c r="BO181">
        <v>57</v>
      </c>
      <c r="BP181">
        <v>0</v>
      </c>
      <c r="BQ181">
        <v>78</v>
      </c>
      <c r="BR181">
        <v>54</v>
      </c>
      <c r="BS181">
        <v>50</v>
      </c>
      <c r="BU181" s="1">
        <f>AVERAGE(Table9[[#This Row],[1-Jan-21]:[1-Dec-25]])</f>
        <v>35.583333333333336</v>
      </c>
    </row>
    <row r="182" spans="1:73" x14ac:dyDescent="0.55000000000000004">
      <c r="A182">
        <v>181</v>
      </c>
      <c r="B182" t="s">
        <v>71</v>
      </c>
      <c r="C182" t="s">
        <v>72</v>
      </c>
      <c r="D182" t="s">
        <v>73</v>
      </c>
      <c r="E182" t="s">
        <v>87</v>
      </c>
      <c r="F182">
        <v>158854</v>
      </c>
      <c r="G182" t="s">
        <v>302</v>
      </c>
      <c r="H182" t="s">
        <v>76</v>
      </c>
      <c r="I182" t="s">
        <v>80</v>
      </c>
      <c r="J182">
        <v>6.39</v>
      </c>
      <c r="K182">
        <v>58</v>
      </c>
      <c r="L182">
        <v>35</v>
      </c>
      <c r="M182">
        <v>70</v>
      </c>
      <c r="N182">
        <v>120</v>
      </c>
      <c r="O182">
        <v>70</v>
      </c>
      <c r="P182">
        <v>130</v>
      </c>
      <c r="Q182">
        <v>50</v>
      </c>
      <c r="R182">
        <v>0</v>
      </c>
      <c r="S182">
        <v>0</v>
      </c>
      <c r="T182">
        <v>100</v>
      </c>
      <c r="U182">
        <v>95</v>
      </c>
      <c r="V182">
        <v>0</v>
      </c>
      <c r="W182">
        <v>136</v>
      </c>
      <c r="X182">
        <v>130</v>
      </c>
      <c r="Y182">
        <v>150</v>
      </c>
      <c r="Z182">
        <v>100</v>
      </c>
      <c r="AA182">
        <v>180</v>
      </c>
      <c r="AB182">
        <v>110</v>
      </c>
      <c r="AC182">
        <v>150</v>
      </c>
      <c r="AD182">
        <v>50</v>
      </c>
      <c r="AE182">
        <v>50</v>
      </c>
      <c r="AF182">
        <v>200</v>
      </c>
      <c r="AG182">
        <v>126</v>
      </c>
      <c r="AH182">
        <v>160</v>
      </c>
      <c r="AI182">
        <v>299</v>
      </c>
      <c r="AJ182">
        <v>110</v>
      </c>
      <c r="AK182">
        <v>60</v>
      </c>
      <c r="AL182">
        <v>180</v>
      </c>
      <c r="AM182">
        <v>0</v>
      </c>
      <c r="AN182">
        <v>50</v>
      </c>
      <c r="AO182">
        <v>98</v>
      </c>
      <c r="AP182">
        <v>60</v>
      </c>
      <c r="AQ182">
        <v>30</v>
      </c>
      <c r="AR182">
        <v>52</v>
      </c>
      <c r="AS182">
        <v>130</v>
      </c>
      <c r="AT182">
        <v>140</v>
      </c>
      <c r="AU182">
        <v>0</v>
      </c>
      <c r="AV182">
        <v>0</v>
      </c>
      <c r="AW182">
        <v>150</v>
      </c>
      <c r="AX182">
        <v>20</v>
      </c>
      <c r="AY182">
        <v>51</v>
      </c>
      <c r="AZ182">
        <v>0</v>
      </c>
      <c r="BA182">
        <v>200</v>
      </c>
      <c r="BB182">
        <v>20</v>
      </c>
      <c r="BC182">
        <v>60</v>
      </c>
      <c r="BD182">
        <v>0</v>
      </c>
      <c r="BE182">
        <v>0</v>
      </c>
      <c r="BF182">
        <v>0</v>
      </c>
      <c r="BG182">
        <v>150</v>
      </c>
      <c r="BH182">
        <v>100</v>
      </c>
      <c r="BI182">
        <v>0</v>
      </c>
      <c r="BJ182">
        <v>30</v>
      </c>
      <c r="BK182">
        <v>0</v>
      </c>
      <c r="BL182">
        <v>100</v>
      </c>
      <c r="BM182">
        <v>0</v>
      </c>
      <c r="BN182">
        <v>0</v>
      </c>
      <c r="BO182">
        <v>15</v>
      </c>
      <c r="BP182">
        <v>120</v>
      </c>
      <c r="BQ182">
        <v>140</v>
      </c>
      <c r="BR182">
        <v>0</v>
      </c>
      <c r="BS182">
        <v>45</v>
      </c>
      <c r="BU182" s="1">
        <f>AVERAGE(Table9[[#This Row],[1-Jan-21]:[1-Dec-25]])</f>
        <v>77.25</v>
      </c>
    </row>
    <row r="183" spans="1:73" x14ac:dyDescent="0.55000000000000004">
      <c r="A183">
        <v>182</v>
      </c>
      <c r="B183" t="s">
        <v>71</v>
      </c>
      <c r="C183" t="s">
        <v>72</v>
      </c>
      <c r="D183" t="s">
        <v>73</v>
      </c>
      <c r="E183" t="s">
        <v>303</v>
      </c>
      <c r="F183">
        <v>108942</v>
      </c>
      <c r="G183" t="s">
        <v>304</v>
      </c>
      <c r="H183" t="s">
        <v>76</v>
      </c>
      <c r="I183" t="s">
        <v>105</v>
      </c>
      <c r="J183">
        <v>115</v>
      </c>
      <c r="K183">
        <v>50</v>
      </c>
      <c r="L183">
        <v>0</v>
      </c>
      <c r="M183">
        <v>30</v>
      </c>
      <c r="N183">
        <v>0</v>
      </c>
      <c r="O183">
        <v>30</v>
      </c>
      <c r="P183">
        <v>60</v>
      </c>
      <c r="Q183">
        <v>20</v>
      </c>
      <c r="R183">
        <v>0</v>
      </c>
      <c r="S183">
        <v>10</v>
      </c>
      <c r="T183">
        <v>10</v>
      </c>
      <c r="U183">
        <v>20</v>
      </c>
      <c r="V183">
        <v>20</v>
      </c>
      <c r="W183">
        <v>20</v>
      </c>
      <c r="X183">
        <v>0</v>
      </c>
      <c r="Y183">
        <v>40</v>
      </c>
      <c r="Z183">
        <v>10</v>
      </c>
      <c r="AA183">
        <v>20</v>
      </c>
      <c r="AB183">
        <v>90</v>
      </c>
      <c r="AC183">
        <v>0</v>
      </c>
      <c r="AD183">
        <v>10</v>
      </c>
      <c r="AE183">
        <v>20</v>
      </c>
      <c r="AF183">
        <v>0</v>
      </c>
      <c r="AG183">
        <v>10</v>
      </c>
      <c r="AH183">
        <v>360</v>
      </c>
      <c r="AI183">
        <v>10</v>
      </c>
      <c r="AJ183">
        <v>0</v>
      </c>
      <c r="AK183">
        <v>30</v>
      </c>
      <c r="AL183">
        <v>0</v>
      </c>
      <c r="AM183">
        <v>20</v>
      </c>
      <c r="AN183">
        <v>0</v>
      </c>
      <c r="AO183">
        <v>0</v>
      </c>
      <c r="AP183">
        <v>20</v>
      </c>
      <c r="AQ183">
        <v>0</v>
      </c>
      <c r="AR183">
        <v>10</v>
      </c>
      <c r="AS183">
        <v>0</v>
      </c>
      <c r="AT183">
        <v>12.5</v>
      </c>
      <c r="AU183">
        <v>17.5</v>
      </c>
      <c r="AV183">
        <v>124.33</v>
      </c>
      <c r="AW183">
        <v>0</v>
      </c>
      <c r="AX183">
        <v>50</v>
      </c>
      <c r="AY183">
        <v>30</v>
      </c>
      <c r="AZ183">
        <v>0</v>
      </c>
      <c r="BA183">
        <v>0</v>
      </c>
      <c r="BB183">
        <v>50</v>
      </c>
      <c r="BC183">
        <v>300</v>
      </c>
      <c r="BD183">
        <v>50</v>
      </c>
      <c r="BE183">
        <v>20</v>
      </c>
      <c r="BF183">
        <v>110</v>
      </c>
      <c r="BG183">
        <v>10</v>
      </c>
      <c r="BH183">
        <v>5.5</v>
      </c>
      <c r="BI183">
        <v>474.5</v>
      </c>
      <c r="BJ183">
        <v>0</v>
      </c>
      <c r="BK183">
        <v>20</v>
      </c>
      <c r="BL183">
        <v>10</v>
      </c>
      <c r="BM183">
        <v>0</v>
      </c>
      <c r="BN183">
        <v>10</v>
      </c>
      <c r="BO183">
        <v>33</v>
      </c>
      <c r="BP183">
        <v>10</v>
      </c>
      <c r="BQ183">
        <v>0</v>
      </c>
      <c r="BR183">
        <v>0</v>
      </c>
      <c r="BS183">
        <v>41</v>
      </c>
      <c r="BU183" s="1">
        <f>AVERAGE(Table9[[#This Row],[1-Jan-21]:[1-Dec-25]])</f>
        <v>37.622166666666665</v>
      </c>
    </row>
    <row r="184" spans="1:73" x14ac:dyDescent="0.55000000000000004">
      <c r="A184">
        <v>183</v>
      </c>
      <c r="B184" t="s">
        <v>71</v>
      </c>
      <c r="C184" t="s">
        <v>72</v>
      </c>
      <c r="D184" t="s">
        <v>73</v>
      </c>
      <c r="E184" t="s">
        <v>103</v>
      </c>
      <c r="F184">
        <v>110636</v>
      </c>
      <c r="G184" t="s">
        <v>305</v>
      </c>
      <c r="H184" t="s">
        <v>76</v>
      </c>
      <c r="I184" t="s">
        <v>105</v>
      </c>
      <c r="J184">
        <v>78.819999999999993</v>
      </c>
      <c r="K184">
        <v>448</v>
      </c>
      <c r="L184">
        <v>4</v>
      </c>
      <c r="M184">
        <v>400</v>
      </c>
      <c r="N184">
        <v>682</v>
      </c>
      <c r="O184">
        <v>488</v>
      </c>
      <c r="P184">
        <v>524</v>
      </c>
      <c r="Q184">
        <v>376</v>
      </c>
      <c r="R184">
        <v>275</v>
      </c>
      <c r="S184">
        <v>348</v>
      </c>
      <c r="T184">
        <v>80</v>
      </c>
      <c r="U184">
        <v>351</v>
      </c>
      <c r="V184">
        <v>30</v>
      </c>
      <c r="W184">
        <v>70</v>
      </c>
      <c r="X184">
        <v>60</v>
      </c>
      <c r="Y184">
        <v>312</v>
      </c>
      <c r="Z184">
        <v>257</v>
      </c>
      <c r="AA184">
        <v>320</v>
      </c>
      <c r="AB184">
        <v>50</v>
      </c>
      <c r="AC184">
        <v>200</v>
      </c>
      <c r="AD184">
        <v>170</v>
      </c>
      <c r="AE184">
        <v>85</v>
      </c>
      <c r="AF184">
        <v>100</v>
      </c>
      <c r="AG184">
        <v>135</v>
      </c>
      <c r="AH184">
        <v>6</v>
      </c>
      <c r="AI184">
        <v>7</v>
      </c>
      <c r="AJ184">
        <v>20</v>
      </c>
      <c r="AK184">
        <v>179</v>
      </c>
      <c r="AL184">
        <v>0</v>
      </c>
      <c r="AM184">
        <v>15</v>
      </c>
      <c r="AN184">
        <v>95</v>
      </c>
      <c r="AO184">
        <v>15</v>
      </c>
      <c r="AP184">
        <v>176</v>
      </c>
      <c r="AQ184">
        <v>20</v>
      </c>
      <c r="AR184">
        <v>23</v>
      </c>
      <c r="AS184">
        <v>0</v>
      </c>
      <c r="AT184">
        <v>65</v>
      </c>
      <c r="AU184">
        <v>0</v>
      </c>
      <c r="AV184">
        <v>108</v>
      </c>
      <c r="AW184">
        <v>199</v>
      </c>
      <c r="AX184">
        <v>190</v>
      </c>
      <c r="AY184">
        <v>33</v>
      </c>
      <c r="AZ184">
        <v>13</v>
      </c>
      <c r="BA184">
        <v>20</v>
      </c>
      <c r="BB184">
        <v>204</v>
      </c>
      <c r="BC184">
        <v>125</v>
      </c>
      <c r="BD184">
        <v>175</v>
      </c>
      <c r="BE184">
        <v>100</v>
      </c>
      <c r="BF184">
        <v>368</v>
      </c>
      <c r="BG184">
        <v>41</v>
      </c>
      <c r="BH184">
        <v>65</v>
      </c>
      <c r="BI184">
        <v>159</v>
      </c>
      <c r="BJ184">
        <v>5</v>
      </c>
      <c r="BK184">
        <v>188</v>
      </c>
      <c r="BL184">
        <v>3</v>
      </c>
      <c r="BM184">
        <v>66</v>
      </c>
      <c r="BN184">
        <v>5</v>
      </c>
      <c r="BO184">
        <v>20</v>
      </c>
      <c r="BP184">
        <v>6</v>
      </c>
      <c r="BQ184">
        <v>217</v>
      </c>
      <c r="BR184">
        <v>23</v>
      </c>
      <c r="BS184">
        <v>57</v>
      </c>
      <c r="BU184" s="1">
        <f>AVERAGE(Table9[[#This Row],[1-Jan-21]:[1-Dec-25]])</f>
        <v>145.31666666666666</v>
      </c>
    </row>
    <row r="185" spans="1:73" x14ac:dyDescent="0.55000000000000004">
      <c r="A185">
        <v>184</v>
      </c>
      <c r="B185" t="s">
        <v>71</v>
      </c>
      <c r="C185" t="s">
        <v>72</v>
      </c>
      <c r="D185" t="s">
        <v>73</v>
      </c>
      <c r="E185" t="s">
        <v>87</v>
      </c>
      <c r="F185">
        <v>107631</v>
      </c>
      <c r="G185" t="s">
        <v>306</v>
      </c>
      <c r="H185" t="s">
        <v>76</v>
      </c>
      <c r="I185" t="s">
        <v>80</v>
      </c>
      <c r="J185">
        <v>34.74</v>
      </c>
      <c r="K185">
        <v>15</v>
      </c>
      <c r="L185">
        <v>12</v>
      </c>
      <c r="M185">
        <v>73</v>
      </c>
      <c r="N185">
        <v>50</v>
      </c>
      <c r="O185">
        <v>38</v>
      </c>
      <c r="P185">
        <v>140</v>
      </c>
      <c r="Q185">
        <v>35</v>
      </c>
      <c r="R185">
        <v>10</v>
      </c>
      <c r="S185">
        <v>50</v>
      </c>
      <c r="T185">
        <v>12</v>
      </c>
      <c r="U185">
        <v>20</v>
      </c>
      <c r="V185">
        <v>59</v>
      </c>
      <c r="W185">
        <v>0</v>
      </c>
      <c r="X185">
        <v>88</v>
      </c>
      <c r="Y185">
        <v>30</v>
      </c>
      <c r="Z185">
        <v>0</v>
      </c>
      <c r="AA185">
        <v>14</v>
      </c>
      <c r="AB185">
        <v>60</v>
      </c>
      <c r="AC185">
        <v>0</v>
      </c>
      <c r="AD185">
        <v>36</v>
      </c>
      <c r="AE185">
        <v>0</v>
      </c>
      <c r="AF185">
        <v>14</v>
      </c>
      <c r="AG185">
        <v>0</v>
      </c>
      <c r="AH185">
        <v>10</v>
      </c>
      <c r="AI185">
        <v>30</v>
      </c>
      <c r="AJ185">
        <v>6</v>
      </c>
      <c r="AK185">
        <v>0</v>
      </c>
      <c r="AL185">
        <v>47</v>
      </c>
      <c r="AM185">
        <v>12</v>
      </c>
      <c r="AN185">
        <v>12</v>
      </c>
      <c r="AO185">
        <v>0</v>
      </c>
      <c r="AP185">
        <v>0</v>
      </c>
      <c r="AQ185">
        <v>0</v>
      </c>
      <c r="AR185">
        <v>28</v>
      </c>
      <c r="AS185">
        <v>1</v>
      </c>
      <c r="AT185">
        <v>0</v>
      </c>
      <c r="AU185">
        <v>16</v>
      </c>
      <c r="AV185">
        <v>14</v>
      </c>
      <c r="AW185">
        <v>16</v>
      </c>
      <c r="AX185">
        <v>0</v>
      </c>
      <c r="AY185">
        <v>49</v>
      </c>
      <c r="AZ185">
        <v>10</v>
      </c>
      <c r="BA185">
        <v>20</v>
      </c>
      <c r="BB185">
        <v>50</v>
      </c>
      <c r="BC185">
        <v>0</v>
      </c>
      <c r="BD185">
        <v>62</v>
      </c>
      <c r="BE185">
        <v>66</v>
      </c>
      <c r="BF185">
        <v>80</v>
      </c>
      <c r="BG185">
        <v>8</v>
      </c>
      <c r="BH185">
        <v>40</v>
      </c>
      <c r="BI185">
        <v>65</v>
      </c>
      <c r="BJ185">
        <v>0</v>
      </c>
      <c r="BK185">
        <v>8</v>
      </c>
      <c r="BL185">
        <v>0</v>
      </c>
      <c r="BM185">
        <v>10</v>
      </c>
      <c r="BN185">
        <v>0</v>
      </c>
      <c r="BO185">
        <v>71</v>
      </c>
      <c r="BP185">
        <v>37</v>
      </c>
      <c r="BQ185">
        <v>6</v>
      </c>
      <c r="BR185">
        <v>72</v>
      </c>
      <c r="BS185">
        <v>45</v>
      </c>
      <c r="BU185" s="1">
        <f>AVERAGE(Table9[[#This Row],[1-Jan-21]:[1-Dec-25]])</f>
        <v>26.7</v>
      </c>
    </row>
    <row r="186" spans="1:73" x14ac:dyDescent="0.55000000000000004">
      <c r="A186">
        <v>185</v>
      </c>
      <c r="B186" t="s">
        <v>71</v>
      </c>
      <c r="C186" t="s">
        <v>72</v>
      </c>
      <c r="D186" t="s">
        <v>73</v>
      </c>
      <c r="E186" t="s">
        <v>87</v>
      </c>
      <c r="F186">
        <v>107642</v>
      </c>
      <c r="G186" t="s">
        <v>307</v>
      </c>
      <c r="H186" t="s">
        <v>76</v>
      </c>
      <c r="I186" t="s">
        <v>80</v>
      </c>
      <c r="J186">
        <v>57.89</v>
      </c>
      <c r="K186">
        <v>22</v>
      </c>
      <c r="L186">
        <v>30</v>
      </c>
      <c r="M186">
        <v>10</v>
      </c>
      <c r="N186">
        <v>12</v>
      </c>
      <c r="O186">
        <v>16</v>
      </c>
      <c r="P186">
        <v>42</v>
      </c>
      <c r="Q186">
        <v>4</v>
      </c>
      <c r="R186">
        <v>10</v>
      </c>
      <c r="S186">
        <v>12</v>
      </c>
      <c r="T186">
        <v>9</v>
      </c>
      <c r="U186">
        <v>37</v>
      </c>
      <c r="V186">
        <v>17</v>
      </c>
      <c r="W186">
        <v>0</v>
      </c>
      <c r="X186">
        <v>4</v>
      </c>
      <c r="Y186">
        <v>8</v>
      </c>
      <c r="Z186">
        <v>20</v>
      </c>
      <c r="AA186">
        <v>8</v>
      </c>
      <c r="AB186">
        <v>25</v>
      </c>
      <c r="AC186">
        <v>10</v>
      </c>
      <c r="AD186">
        <v>10</v>
      </c>
      <c r="AE186">
        <v>0</v>
      </c>
      <c r="AF186">
        <v>8</v>
      </c>
      <c r="AG186">
        <v>0</v>
      </c>
      <c r="AH186">
        <v>0</v>
      </c>
      <c r="AI186">
        <v>13</v>
      </c>
      <c r="AJ186">
        <v>18</v>
      </c>
      <c r="AK186">
        <v>15</v>
      </c>
      <c r="AL186">
        <v>1</v>
      </c>
      <c r="AM186">
        <v>7</v>
      </c>
      <c r="AN186">
        <v>18</v>
      </c>
      <c r="AO186">
        <v>10</v>
      </c>
      <c r="AP186">
        <v>2</v>
      </c>
      <c r="AQ186">
        <v>1</v>
      </c>
      <c r="AR186">
        <v>10</v>
      </c>
      <c r="AS186">
        <v>12</v>
      </c>
      <c r="AT186">
        <v>0</v>
      </c>
      <c r="AU186">
        <v>64</v>
      </c>
      <c r="AV186">
        <v>20</v>
      </c>
      <c r="AW186">
        <v>12</v>
      </c>
      <c r="AX186">
        <v>1</v>
      </c>
      <c r="AY186">
        <v>1</v>
      </c>
      <c r="AZ186">
        <v>1</v>
      </c>
      <c r="BA186">
        <v>4</v>
      </c>
      <c r="BB186">
        <v>0</v>
      </c>
      <c r="BC186">
        <v>0</v>
      </c>
      <c r="BD186">
        <v>8</v>
      </c>
      <c r="BE186">
        <v>0</v>
      </c>
      <c r="BF186">
        <v>0</v>
      </c>
      <c r="BG186">
        <v>10</v>
      </c>
      <c r="BH186">
        <v>0</v>
      </c>
      <c r="BI186">
        <v>5</v>
      </c>
      <c r="BJ186">
        <v>0</v>
      </c>
      <c r="BK186">
        <v>0</v>
      </c>
      <c r="BL186">
        <v>10</v>
      </c>
      <c r="BM186">
        <v>12</v>
      </c>
      <c r="BN186">
        <v>25</v>
      </c>
      <c r="BO186">
        <v>4</v>
      </c>
      <c r="BP186">
        <v>24</v>
      </c>
      <c r="BQ186">
        <v>33</v>
      </c>
      <c r="BR186">
        <v>0</v>
      </c>
      <c r="BS186">
        <v>47</v>
      </c>
      <c r="BU186" s="1">
        <f>AVERAGE(Table9[[#This Row],[1-Jan-21]:[1-Dec-25]])</f>
        <v>10.916666666666666</v>
      </c>
    </row>
    <row r="187" spans="1:73" x14ac:dyDescent="0.55000000000000004">
      <c r="A187">
        <v>186</v>
      </c>
      <c r="B187" t="s">
        <v>71</v>
      </c>
      <c r="C187" t="s">
        <v>72</v>
      </c>
      <c r="D187" t="s">
        <v>73</v>
      </c>
      <c r="E187" t="s">
        <v>87</v>
      </c>
      <c r="F187">
        <v>107612</v>
      </c>
      <c r="G187" t="s">
        <v>308</v>
      </c>
      <c r="H187" t="s">
        <v>76</v>
      </c>
      <c r="I187" t="s">
        <v>80</v>
      </c>
      <c r="J187">
        <v>4.6399999999999997</v>
      </c>
      <c r="K187">
        <v>300</v>
      </c>
      <c r="L187">
        <v>130</v>
      </c>
      <c r="M187">
        <v>198</v>
      </c>
      <c r="N187">
        <v>340</v>
      </c>
      <c r="O187">
        <v>40</v>
      </c>
      <c r="P187">
        <v>550</v>
      </c>
      <c r="Q187">
        <v>250</v>
      </c>
      <c r="R187">
        <v>561</v>
      </c>
      <c r="S187">
        <v>90</v>
      </c>
      <c r="T187">
        <v>104</v>
      </c>
      <c r="U187">
        <v>250</v>
      </c>
      <c r="V187">
        <v>90</v>
      </c>
      <c r="W187">
        <v>100</v>
      </c>
      <c r="X187">
        <v>280</v>
      </c>
      <c r="Y187">
        <v>286</v>
      </c>
      <c r="Z187">
        <v>308</v>
      </c>
      <c r="AA187">
        <v>195</v>
      </c>
      <c r="AB187">
        <v>325</v>
      </c>
      <c r="AC187">
        <v>70</v>
      </c>
      <c r="AD187">
        <v>60</v>
      </c>
      <c r="AE187">
        <v>50</v>
      </c>
      <c r="AF187">
        <v>70</v>
      </c>
      <c r="AG187">
        <v>260</v>
      </c>
      <c r="AH187">
        <v>117</v>
      </c>
      <c r="AI187">
        <v>182</v>
      </c>
      <c r="AJ187">
        <v>43</v>
      </c>
      <c r="AK187">
        <v>94</v>
      </c>
      <c r="AL187">
        <v>144</v>
      </c>
      <c r="AM187">
        <v>242</v>
      </c>
      <c r="AN187">
        <v>100</v>
      </c>
      <c r="AO187">
        <v>225</v>
      </c>
      <c r="AP187">
        <v>30</v>
      </c>
      <c r="AQ187">
        <v>110</v>
      </c>
      <c r="AR187">
        <v>100</v>
      </c>
      <c r="AS187">
        <v>184</v>
      </c>
      <c r="AT187">
        <v>230</v>
      </c>
      <c r="AU187">
        <v>135</v>
      </c>
      <c r="AV187">
        <v>69</v>
      </c>
      <c r="AW187">
        <v>331</v>
      </c>
      <c r="AX187">
        <v>300</v>
      </c>
      <c r="AY187">
        <v>205</v>
      </c>
      <c r="AZ187">
        <v>230</v>
      </c>
      <c r="BA187">
        <v>90</v>
      </c>
      <c r="BB187">
        <v>223</v>
      </c>
      <c r="BC187">
        <v>306</v>
      </c>
      <c r="BD187">
        <v>292</v>
      </c>
      <c r="BE187">
        <v>500</v>
      </c>
      <c r="BF187">
        <v>80</v>
      </c>
      <c r="BG187">
        <v>363</v>
      </c>
      <c r="BH187">
        <v>405</v>
      </c>
      <c r="BI187">
        <v>105</v>
      </c>
      <c r="BJ187">
        <v>253</v>
      </c>
      <c r="BK187">
        <v>150</v>
      </c>
      <c r="BL187">
        <v>140</v>
      </c>
      <c r="BM187">
        <v>380</v>
      </c>
      <c r="BN187">
        <v>170</v>
      </c>
      <c r="BO187">
        <v>150</v>
      </c>
      <c r="BP187">
        <v>210</v>
      </c>
      <c r="BQ187">
        <v>399</v>
      </c>
      <c r="BR187">
        <v>242</v>
      </c>
      <c r="BS187">
        <v>60</v>
      </c>
      <c r="BU187" s="1">
        <f>AVERAGE(Table9[[#This Row],[1-Jan-21]:[1-Dec-25]])</f>
        <v>207.26666666666668</v>
      </c>
    </row>
    <row r="188" spans="1:73" x14ac:dyDescent="0.55000000000000004">
      <c r="A188">
        <v>187</v>
      </c>
      <c r="B188" t="s">
        <v>71</v>
      </c>
      <c r="C188" t="s">
        <v>72</v>
      </c>
      <c r="D188" t="s">
        <v>73</v>
      </c>
      <c r="E188" t="s">
        <v>99</v>
      </c>
      <c r="F188">
        <v>108104</v>
      </c>
      <c r="G188" t="s">
        <v>309</v>
      </c>
      <c r="H188" t="s">
        <v>76</v>
      </c>
      <c r="I188" t="s">
        <v>80</v>
      </c>
      <c r="J188">
        <v>1435.8</v>
      </c>
      <c r="K188">
        <v>1</v>
      </c>
      <c r="L188">
        <v>0</v>
      </c>
      <c r="M188">
        <v>3</v>
      </c>
      <c r="N188">
        <v>3</v>
      </c>
      <c r="O188">
        <v>1</v>
      </c>
      <c r="P188">
        <v>0</v>
      </c>
      <c r="Q188">
        <v>1</v>
      </c>
      <c r="R188">
        <v>2</v>
      </c>
      <c r="S188">
        <v>0</v>
      </c>
      <c r="T188">
        <v>3</v>
      </c>
      <c r="U188">
        <v>0</v>
      </c>
      <c r="V188">
        <v>4</v>
      </c>
      <c r="W188">
        <v>0</v>
      </c>
      <c r="X188">
        <v>2</v>
      </c>
      <c r="Y188">
        <v>3</v>
      </c>
      <c r="Z188">
        <v>2</v>
      </c>
      <c r="AA188">
        <v>1</v>
      </c>
      <c r="AB188">
        <v>0</v>
      </c>
      <c r="AC188">
        <v>0</v>
      </c>
      <c r="AD188">
        <v>2</v>
      </c>
      <c r="AE188">
        <v>3</v>
      </c>
      <c r="AF188">
        <v>12</v>
      </c>
      <c r="AG188">
        <v>1</v>
      </c>
      <c r="AH188">
        <v>4</v>
      </c>
      <c r="AI188">
        <v>3</v>
      </c>
      <c r="AJ188">
        <v>0</v>
      </c>
      <c r="AK188">
        <v>5</v>
      </c>
      <c r="AL188">
        <v>0</v>
      </c>
      <c r="AM188">
        <v>2</v>
      </c>
      <c r="AN188">
        <v>0</v>
      </c>
      <c r="AO188">
        <v>0</v>
      </c>
      <c r="AP188">
        <v>3</v>
      </c>
      <c r="AQ188">
        <v>0</v>
      </c>
      <c r="AR188">
        <v>0</v>
      </c>
      <c r="AS188">
        <v>2</v>
      </c>
      <c r="AT188">
        <v>1</v>
      </c>
      <c r="AU188">
        <v>3</v>
      </c>
      <c r="AV188">
        <v>3</v>
      </c>
      <c r="AW188">
        <v>6</v>
      </c>
      <c r="AX188">
        <v>10</v>
      </c>
      <c r="AY188">
        <v>4</v>
      </c>
      <c r="AZ188">
        <v>0</v>
      </c>
      <c r="BA188">
        <v>4</v>
      </c>
      <c r="BB188">
        <v>1</v>
      </c>
      <c r="BC188">
        <v>0</v>
      </c>
      <c r="BD188">
        <v>1</v>
      </c>
      <c r="BE188">
        <v>2</v>
      </c>
      <c r="BF188">
        <v>1</v>
      </c>
      <c r="BG188">
        <v>0</v>
      </c>
      <c r="BH188">
        <v>0</v>
      </c>
      <c r="BI188">
        <v>2</v>
      </c>
      <c r="BJ188">
        <v>2</v>
      </c>
      <c r="BK188">
        <v>12</v>
      </c>
      <c r="BL188">
        <v>0</v>
      </c>
      <c r="BM188">
        <v>2</v>
      </c>
      <c r="BN188">
        <v>1</v>
      </c>
      <c r="BO188">
        <v>3</v>
      </c>
      <c r="BP188">
        <v>6</v>
      </c>
      <c r="BQ188">
        <v>1</v>
      </c>
      <c r="BR188">
        <v>3</v>
      </c>
      <c r="BS188">
        <v>42</v>
      </c>
      <c r="BU188" s="1">
        <f>AVERAGE(Table9[[#This Row],[1-Jan-21]:[1-Dec-25]])</f>
        <v>2.1833333333333331</v>
      </c>
    </row>
    <row r="189" spans="1:73" x14ac:dyDescent="0.55000000000000004">
      <c r="A189">
        <v>188</v>
      </c>
      <c r="B189" t="s">
        <v>71</v>
      </c>
      <c r="C189" t="s">
        <v>72</v>
      </c>
      <c r="D189" t="s">
        <v>73</v>
      </c>
      <c r="E189" t="s">
        <v>99</v>
      </c>
      <c r="F189">
        <v>108105</v>
      </c>
      <c r="G189" t="s">
        <v>310</v>
      </c>
      <c r="H189" t="s">
        <v>76</v>
      </c>
      <c r="I189" t="s">
        <v>80</v>
      </c>
      <c r="J189">
        <v>344.58</v>
      </c>
      <c r="K189">
        <v>62</v>
      </c>
      <c r="L189">
        <v>54</v>
      </c>
      <c r="M189">
        <v>72</v>
      </c>
      <c r="N189">
        <v>98</v>
      </c>
      <c r="O189">
        <v>103</v>
      </c>
      <c r="P189">
        <v>104</v>
      </c>
      <c r="Q189">
        <v>61</v>
      </c>
      <c r="R189">
        <v>72</v>
      </c>
      <c r="S189">
        <v>44</v>
      </c>
      <c r="T189">
        <v>28</v>
      </c>
      <c r="U189">
        <v>19</v>
      </c>
      <c r="V189">
        <v>29</v>
      </c>
      <c r="W189">
        <v>42</v>
      </c>
      <c r="X189">
        <v>119</v>
      </c>
      <c r="Y189">
        <v>34</v>
      </c>
      <c r="Z189">
        <v>85</v>
      </c>
      <c r="AA189">
        <v>35</v>
      </c>
      <c r="AB189">
        <v>83</v>
      </c>
      <c r="AC189">
        <v>43</v>
      </c>
      <c r="AD189">
        <v>21</v>
      </c>
      <c r="AE189">
        <v>67</v>
      </c>
      <c r="AF189">
        <v>30</v>
      </c>
      <c r="AG189">
        <v>24</v>
      </c>
      <c r="AH189">
        <v>12</v>
      </c>
      <c r="AI189">
        <v>20</v>
      </c>
      <c r="AJ189">
        <v>25</v>
      </c>
      <c r="AK189">
        <v>24</v>
      </c>
      <c r="AL189">
        <v>9</v>
      </c>
      <c r="AM189">
        <v>27</v>
      </c>
      <c r="AN189">
        <v>21</v>
      </c>
      <c r="AO189">
        <v>1</v>
      </c>
      <c r="AP189">
        <v>17</v>
      </c>
      <c r="AQ189">
        <v>28</v>
      </c>
      <c r="AR189">
        <v>33</v>
      </c>
      <c r="AS189">
        <v>29</v>
      </c>
      <c r="AT189">
        <v>31</v>
      </c>
      <c r="AU189">
        <v>58</v>
      </c>
      <c r="AV189">
        <v>63</v>
      </c>
      <c r="AW189">
        <v>51</v>
      </c>
      <c r="AX189">
        <v>15</v>
      </c>
      <c r="AY189">
        <v>38</v>
      </c>
      <c r="AZ189">
        <v>32</v>
      </c>
      <c r="BA189">
        <v>44</v>
      </c>
      <c r="BB189">
        <v>49</v>
      </c>
      <c r="BC189">
        <v>34</v>
      </c>
      <c r="BD189">
        <v>42</v>
      </c>
      <c r="BE189">
        <v>68</v>
      </c>
      <c r="BF189">
        <v>55</v>
      </c>
      <c r="BG189">
        <v>28</v>
      </c>
      <c r="BH189">
        <v>14</v>
      </c>
      <c r="BI189">
        <v>9</v>
      </c>
      <c r="BJ189">
        <v>22</v>
      </c>
      <c r="BK189">
        <v>34</v>
      </c>
      <c r="BL189">
        <v>18</v>
      </c>
      <c r="BM189">
        <v>24</v>
      </c>
      <c r="BN189">
        <v>33</v>
      </c>
      <c r="BO189">
        <v>56</v>
      </c>
      <c r="BP189">
        <v>32</v>
      </c>
      <c r="BQ189">
        <v>87</v>
      </c>
      <c r="BR189">
        <v>49</v>
      </c>
      <c r="BS189">
        <v>60</v>
      </c>
      <c r="BU189" s="1">
        <f>AVERAGE(Table9[[#This Row],[1-Jan-21]:[1-Dec-25]])</f>
        <v>42.68333333333333</v>
      </c>
    </row>
    <row r="190" spans="1:73" x14ac:dyDescent="0.55000000000000004">
      <c r="A190">
        <v>189</v>
      </c>
      <c r="B190" t="s">
        <v>71</v>
      </c>
      <c r="C190" t="s">
        <v>72</v>
      </c>
      <c r="D190" t="s">
        <v>73</v>
      </c>
      <c r="E190" t="s">
        <v>311</v>
      </c>
      <c r="F190">
        <v>185203</v>
      </c>
      <c r="G190" t="s">
        <v>312</v>
      </c>
      <c r="H190" t="s">
        <v>76</v>
      </c>
      <c r="I190" t="s">
        <v>80</v>
      </c>
      <c r="J190">
        <v>16789.560000000001</v>
      </c>
      <c r="K190">
        <v>1</v>
      </c>
      <c r="L190">
        <v>0</v>
      </c>
      <c r="M190">
        <v>1</v>
      </c>
      <c r="N190">
        <v>4</v>
      </c>
      <c r="O190">
        <v>1</v>
      </c>
      <c r="P190">
        <v>2</v>
      </c>
      <c r="Q190">
        <v>0</v>
      </c>
      <c r="R190">
        <v>6</v>
      </c>
      <c r="S190">
        <v>5</v>
      </c>
      <c r="T190">
        <v>9</v>
      </c>
      <c r="U190">
        <v>2</v>
      </c>
      <c r="V190">
        <v>0</v>
      </c>
      <c r="W190">
        <v>1</v>
      </c>
      <c r="X190">
        <v>1</v>
      </c>
      <c r="Y190">
        <v>7</v>
      </c>
      <c r="Z190">
        <v>1</v>
      </c>
      <c r="AA190">
        <v>3</v>
      </c>
      <c r="AB190">
        <v>4</v>
      </c>
      <c r="AC190">
        <v>4</v>
      </c>
      <c r="AD190">
        <v>2</v>
      </c>
      <c r="AE190">
        <v>3</v>
      </c>
      <c r="AF190">
        <v>0</v>
      </c>
      <c r="AG190">
        <v>2</v>
      </c>
      <c r="AH190">
        <v>1</v>
      </c>
      <c r="AI190">
        <v>0</v>
      </c>
      <c r="AJ190">
        <v>3</v>
      </c>
      <c r="AK190">
        <v>0</v>
      </c>
      <c r="AL190">
        <v>1</v>
      </c>
      <c r="AM190">
        <v>6</v>
      </c>
      <c r="AN190">
        <v>3</v>
      </c>
      <c r="AO190">
        <v>7</v>
      </c>
      <c r="AP190">
        <v>3</v>
      </c>
      <c r="AQ190">
        <v>2</v>
      </c>
      <c r="AR190">
        <v>1</v>
      </c>
      <c r="AS190">
        <v>1</v>
      </c>
      <c r="AT190">
        <v>1</v>
      </c>
      <c r="AU190">
        <v>0</v>
      </c>
      <c r="AV190">
        <v>0</v>
      </c>
      <c r="AW190">
        <v>0</v>
      </c>
      <c r="AX190">
        <v>4</v>
      </c>
      <c r="AY190">
        <v>5</v>
      </c>
      <c r="AZ190">
        <v>3</v>
      </c>
      <c r="BA190">
        <v>2</v>
      </c>
      <c r="BB190">
        <v>2</v>
      </c>
      <c r="BC190">
        <v>3</v>
      </c>
      <c r="BD190">
        <v>2</v>
      </c>
      <c r="BE190">
        <v>1</v>
      </c>
      <c r="BF190">
        <v>0</v>
      </c>
      <c r="BG190">
        <v>0</v>
      </c>
      <c r="BH190">
        <v>2</v>
      </c>
      <c r="BI190">
        <v>3</v>
      </c>
      <c r="BJ190">
        <v>5</v>
      </c>
      <c r="BK190">
        <v>2</v>
      </c>
      <c r="BL190">
        <v>2</v>
      </c>
      <c r="BM190">
        <v>3</v>
      </c>
      <c r="BN190">
        <v>1</v>
      </c>
      <c r="BO190">
        <v>2</v>
      </c>
      <c r="BP190">
        <v>3</v>
      </c>
      <c r="BQ190">
        <v>0</v>
      </c>
      <c r="BR190">
        <v>1</v>
      </c>
      <c r="BS190">
        <v>48</v>
      </c>
      <c r="BU190" s="1">
        <f>AVERAGE(Table9[[#This Row],[1-Jan-21]:[1-Dec-25]])</f>
        <v>2.2333333333333334</v>
      </c>
    </row>
    <row r="191" spans="1:73" x14ac:dyDescent="0.55000000000000004">
      <c r="A191">
        <v>190</v>
      </c>
      <c r="B191" t="s">
        <v>71</v>
      </c>
      <c r="C191" t="s">
        <v>72</v>
      </c>
      <c r="D191" t="s">
        <v>73</v>
      </c>
      <c r="E191" t="s">
        <v>134</v>
      </c>
      <c r="F191">
        <v>108425</v>
      </c>
      <c r="G191" t="s">
        <v>313</v>
      </c>
      <c r="H191" t="s">
        <v>76</v>
      </c>
      <c r="I191" t="s">
        <v>80</v>
      </c>
      <c r="J191">
        <v>197</v>
      </c>
      <c r="K191">
        <v>2</v>
      </c>
      <c r="L191">
        <v>1</v>
      </c>
      <c r="M191">
        <v>1</v>
      </c>
      <c r="N191">
        <v>4</v>
      </c>
      <c r="O191">
        <v>1</v>
      </c>
      <c r="P191">
        <v>1</v>
      </c>
      <c r="Q191">
        <v>0</v>
      </c>
      <c r="R191">
        <v>4</v>
      </c>
      <c r="S191">
        <v>2</v>
      </c>
      <c r="T191">
        <v>3</v>
      </c>
      <c r="U191">
        <v>0</v>
      </c>
      <c r="V191">
        <v>0</v>
      </c>
      <c r="W191">
        <v>4</v>
      </c>
      <c r="X191">
        <v>0</v>
      </c>
      <c r="Y191">
        <v>1</v>
      </c>
      <c r="Z191">
        <v>2</v>
      </c>
      <c r="AA191">
        <v>0</v>
      </c>
      <c r="AB191">
        <v>4</v>
      </c>
      <c r="AC191">
        <v>0</v>
      </c>
      <c r="AD191">
        <v>2</v>
      </c>
      <c r="AE191">
        <v>0</v>
      </c>
      <c r="AF191">
        <v>0</v>
      </c>
      <c r="AG191">
        <v>0</v>
      </c>
      <c r="AH191">
        <v>5</v>
      </c>
      <c r="AI191">
        <v>4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2</v>
      </c>
      <c r="AU191">
        <v>3</v>
      </c>
      <c r="AV191">
        <v>2</v>
      </c>
      <c r="AW191">
        <v>3</v>
      </c>
      <c r="AX191">
        <v>2</v>
      </c>
      <c r="AY191">
        <v>1</v>
      </c>
      <c r="AZ191">
        <v>3</v>
      </c>
      <c r="BA191">
        <v>3</v>
      </c>
      <c r="BB191">
        <v>0</v>
      </c>
      <c r="BC191">
        <v>3</v>
      </c>
      <c r="BD191">
        <v>4</v>
      </c>
      <c r="BE191">
        <v>3</v>
      </c>
      <c r="BF191">
        <v>4</v>
      </c>
      <c r="BG191">
        <v>8</v>
      </c>
      <c r="BH191">
        <v>6</v>
      </c>
      <c r="BI191">
        <v>2</v>
      </c>
      <c r="BJ191">
        <v>0</v>
      </c>
      <c r="BK191">
        <v>1</v>
      </c>
      <c r="BL191">
        <v>4</v>
      </c>
      <c r="BM191">
        <v>0</v>
      </c>
      <c r="BN191">
        <v>4</v>
      </c>
      <c r="BO191">
        <v>1</v>
      </c>
      <c r="BP191">
        <v>2</v>
      </c>
      <c r="BQ191">
        <v>4</v>
      </c>
      <c r="BR191">
        <v>3</v>
      </c>
      <c r="BS191">
        <v>40</v>
      </c>
      <c r="BU191" s="1">
        <f>AVERAGE(Table9[[#This Row],[1-Jan-21]:[1-Dec-25]])</f>
        <v>1.85</v>
      </c>
    </row>
    <row r="192" spans="1:73" x14ac:dyDescent="0.55000000000000004">
      <c r="A192">
        <v>191</v>
      </c>
      <c r="B192" t="s">
        <v>71</v>
      </c>
      <c r="C192" t="s">
        <v>72</v>
      </c>
      <c r="D192" t="s">
        <v>73</v>
      </c>
      <c r="E192" t="s">
        <v>89</v>
      </c>
      <c r="F192">
        <v>148709</v>
      </c>
      <c r="G192" t="s">
        <v>314</v>
      </c>
      <c r="H192" t="s">
        <v>76</v>
      </c>
      <c r="I192" t="s">
        <v>80</v>
      </c>
      <c r="J192">
        <v>92.63</v>
      </c>
      <c r="K192">
        <v>6</v>
      </c>
      <c r="L192">
        <v>28</v>
      </c>
      <c r="M192">
        <v>6</v>
      </c>
      <c r="N192">
        <v>4</v>
      </c>
      <c r="O192">
        <v>14</v>
      </c>
      <c r="P192">
        <v>23</v>
      </c>
      <c r="Q192">
        <v>14</v>
      </c>
      <c r="R192">
        <v>8</v>
      </c>
      <c r="S192">
        <v>4</v>
      </c>
      <c r="T192">
        <v>15</v>
      </c>
      <c r="U192">
        <v>12</v>
      </c>
      <c r="V192">
        <v>6</v>
      </c>
      <c r="W192">
        <v>4</v>
      </c>
      <c r="X192">
        <v>9</v>
      </c>
      <c r="Y192">
        <v>0</v>
      </c>
      <c r="Z192">
        <v>0</v>
      </c>
      <c r="AA192">
        <v>2</v>
      </c>
      <c r="AB192">
        <v>4</v>
      </c>
      <c r="AC192">
        <v>2</v>
      </c>
      <c r="AD192">
        <v>4</v>
      </c>
      <c r="AE192">
        <v>4</v>
      </c>
      <c r="AF192">
        <v>0</v>
      </c>
      <c r="AG192">
        <v>0</v>
      </c>
      <c r="AH192">
        <v>4</v>
      </c>
      <c r="AI192">
        <v>0</v>
      </c>
      <c r="AJ192">
        <v>1</v>
      </c>
      <c r="AK192">
        <v>2</v>
      </c>
      <c r="AL192">
        <v>0</v>
      </c>
      <c r="AM192">
        <v>2</v>
      </c>
      <c r="AN192">
        <v>0</v>
      </c>
      <c r="AO192">
        <v>2</v>
      </c>
      <c r="AP192">
        <v>2</v>
      </c>
      <c r="AQ192">
        <v>0</v>
      </c>
      <c r="AR192">
        <v>3</v>
      </c>
      <c r="AS192">
        <v>0</v>
      </c>
      <c r="AT192">
        <v>2</v>
      </c>
      <c r="AU192">
        <v>4</v>
      </c>
      <c r="AV192">
        <v>4</v>
      </c>
      <c r="AW192">
        <v>0</v>
      </c>
      <c r="AX192">
        <v>0</v>
      </c>
      <c r="AY192">
        <v>0</v>
      </c>
      <c r="AZ192">
        <v>4</v>
      </c>
      <c r="BA192">
        <v>4</v>
      </c>
      <c r="BB192">
        <v>0</v>
      </c>
      <c r="BC192">
        <v>2</v>
      </c>
      <c r="BD192">
        <v>0</v>
      </c>
      <c r="BE192">
        <v>0</v>
      </c>
      <c r="BF192">
        <v>6</v>
      </c>
      <c r="BG192">
        <v>4</v>
      </c>
      <c r="BH192">
        <v>2</v>
      </c>
      <c r="BI192">
        <v>4</v>
      </c>
      <c r="BJ192">
        <v>0</v>
      </c>
      <c r="BK192">
        <v>0</v>
      </c>
      <c r="BL192">
        <v>0</v>
      </c>
      <c r="BM192">
        <v>0</v>
      </c>
      <c r="BN192">
        <v>2</v>
      </c>
      <c r="BO192">
        <v>0</v>
      </c>
      <c r="BP192">
        <v>4</v>
      </c>
      <c r="BQ192">
        <v>6</v>
      </c>
      <c r="BR192">
        <v>2</v>
      </c>
      <c r="BS192">
        <v>40</v>
      </c>
      <c r="BU192" s="1">
        <f>AVERAGE(Table9[[#This Row],[1-Jan-21]:[1-Dec-25]])</f>
        <v>3.9166666666666665</v>
      </c>
    </row>
    <row r="193" spans="1:73" x14ac:dyDescent="0.55000000000000004">
      <c r="A193">
        <v>192</v>
      </c>
      <c r="B193" t="s">
        <v>71</v>
      </c>
      <c r="C193" t="s">
        <v>72</v>
      </c>
      <c r="D193" t="s">
        <v>73</v>
      </c>
      <c r="E193" t="s">
        <v>134</v>
      </c>
      <c r="F193">
        <v>108626</v>
      </c>
      <c r="G193" t="s">
        <v>315</v>
      </c>
      <c r="H193" t="s">
        <v>76</v>
      </c>
      <c r="I193" t="s">
        <v>105</v>
      </c>
      <c r="J193">
        <v>32.42</v>
      </c>
      <c r="K193">
        <v>110</v>
      </c>
      <c r="L193">
        <v>120</v>
      </c>
      <c r="M193">
        <v>146</v>
      </c>
      <c r="N193">
        <v>0</v>
      </c>
      <c r="O193">
        <v>90</v>
      </c>
      <c r="P193">
        <v>548</v>
      </c>
      <c r="Q193">
        <v>0</v>
      </c>
      <c r="R193">
        <v>704</v>
      </c>
      <c r="S193">
        <v>611</v>
      </c>
      <c r="T193">
        <v>410</v>
      </c>
      <c r="U193">
        <v>1718</v>
      </c>
      <c r="V193">
        <v>1648</v>
      </c>
      <c r="W193">
        <v>1080</v>
      </c>
      <c r="X193">
        <v>660</v>
      </c>
      <c r="Y193">
        <v>810</v>
      </c>
      <c r="Z193">
        <v>382</v>
      </c>
      <c r="AA193">
        <v>700</v>
      </c>
      <c r="AB193">
        <v>840</v>
      </c>
      <c r="AC193">
        <v>400</v>
      </c>
      <c r="AD193">
        <v>500</v>
      </c>
      <c r="AE193">
        <v>0</v>
      </c>
      <c r="AF193">
        <v>300</v>
      </c>
      <c r="AG193">
        <v>0</v>
      </c>
      <c r="AH193">
        <v>0</v>
      </c>
      <c r="AI193">
        <v>0</v>
      </c>
      <c r="AJ193">
        <v>400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300</v>
      </c>
      <c r="AR193">
        <v>60</v>
      </c>
      <c r="AS193">
        <v>629</v>
      </c>
      <c r="AT193">
        <v>0</v>
      </c>
      <c r="AU193">
        <v>328</v>
      </c>
      <c r="AV193">
        <v>328</v>
      </c>
      <c r="AW193">
        <v>0</v>
      </c>
      <c r="AX193">
        <v>162</v>
      </c>
      <c r="AY193">
        <v>60</v>
      </c>
      <c r="AZ193">
        <v>0</v>
      </c>
      <c r="BA193">
        <v>544</v>
      </c>
      <c r="BB193">
        <v>100</v>
      </c>
      <c r="BC193">
        <v>80</v>
      </c>
      <c r="BD193">
        <v>1151</v>
      </c>
      <c r="BE193">
        <v>600</v>
      </c>
      <c r="BF193">
        <v>984</v>
      </c>
      <c r="BG193">
        <v>1670</v>
      </c>
      <c r="BH193">
        <v>20</v>
      </c>
      <c r="BI193">
        <v>316</v>
      </c>
      <c r="BJ193">
        <v>300</v>
      </c>
      <c r="BK193">
        <v>300</v>
      </c>
      <c r="BL193">
        <v>50</v>
      </c>
      <c r="BM193">
        <v>0</v>
      </c>
      <c r="BN193">
        <v>554</v>
      </c>
      <c r="BO193">
        <v>70</v>
      </c>
      <c r="BP193">
        <v>0</v>
      </c>
      <c r="BQ193">
        <v>328</v>
      </c>
      <c r="BR193">
        <v>745</v>
      </c>
      <c r="BS193">
        <v>43</v>
      </c>
      <c r="BU193" s="1">
        <f>AVERAGE(Table9[[#This Row],[1-Jan-21]:[1-Dec-25]])</f>
        <v>364.26666666666665</v>
      </c>
    </row>
    <row r="194" spans="1:73" x14ac:dyDescent="0.55000000000000004">
      <c r="A194">
        <v>193</v>
      </c>
      <c r="B194" t="s">
        <v>71</v>
      </c>
      <c r="C194" t="s">
        <v>72</v>
      </c>
      <c r="D194" t="s">
        <v>73</v>
      </c>
      <c r="E194" t="s">
        <v>99</v>
      </c>
      <c r="F194">
        <v>108303</v>
      </c>
      <c r="G194" t="s">
        <v>316</v>
      </c>
      <c r="H194" t="s">
        <v>76</v>
      </c>
      <c r="I194" t="s">
        <v>80</v>
      </c>
      <c r="J194">
        <v>264.44</v>
      </c>
      <c r="K194">
        <v>11</v>
      </c>
      <c r="L194">
        <v>14</v>
      </c>
      <c r="M194">
        <v>21</v>
      </c>
      <c r="N194">
        <v>4</v>
      </c>
      <c r="O194">
        <v>34</v>
      </c>
      <c r="P194">
        <v>25</v>
      </c>
      <c r="Q194">
        <v>16</v>
      </c>
      <c r="R194">
        <v>8</v>
      </c>
      <c r="S194">
        <v>35</v>
      </c>
      <c r="T194">
        <v>23</v>
      </c>
      <c r="U194">
        <v>6</v>
      </c>
      <c r="V194">
        <v>5</v>
      </c>
      <c r="W194">
        <v>19</v>
      </c>
      <c r="X194">
        <v>49</v>
      </c>
      <c r="Y194">
        <v>27</v>
      </c>
      <c r="Z194">
        <v>8</v>
      </c>
      <c r="AA194">
        <v>39</v>
      </c>
      <c r="AB194">
        <v>23</v>
      </c>
      <c r="AC194">
        <v>6</v>
      </c>
      <c r="AD194">
        <v>4</v>
      </c>
      <c r="AE194">
        <v>28</v>
      </c>
      <c r="AF194">
        <v>17</v>
      </c>
      <c r="AG194">
        <v>4</v>
      </c>
      <c r="AH194">
        <v>5</v>
      </c>
      <c r="AI194">
        <v>6</v>
      </c>
      <c r="AJ194">
        <v>3</v>
      </c>
      <c r="AK194">
        <v>4</v>
      </c>
      <c r="AL194">
        <v>9</v>
      </c>
      <c r="AM194">
        <v>12</v>
      </c>
      <c r="AN194">
        <v>4</v>
      </c>
      <c r="AO194">
        <v>17</v>
      </c>
      <c r="AP194">
        <v>10</v>
      </c>
      <c r="AQ194">
        <v>11</v>
      </c>
      <c r="AR194">
        <v>5</v>
      </c>
      <c r="AS194">
        <v>7</v>
      </c>
      <c r="AT194">
        <v>14</v>
      </c>
      <c r="AU194">
        <v>7</v>
      </c>
      <c r="AV194">
        <v>23</v>
      </c>
      <c r="AW194">
        <v>13</v>
      </c>
      <c r="AX194">
        <v>18</v>
      </c>
      <c r="AY194">
        <v>11</v>
      </c>
      <c r="AZ194">
        <v>26</v>
      </c>
      <c r="BA194">
        <v>27</v>
      </c>
      <c r="BB194">
        <v>18</v>
      </c>
      <c r="BC194">
        <v>16</v>
      </c>
      <c r="BD194">
        <v>16</v>
      </c>
      <c r="BE194">
        <v>25</v>
      </c>
      <c r="BF194">
        <v>41</v>
      </c>
      <c r="BG194">
        <v>38</v>
      </c>
      <c r="BH194">
        <v>39</v>
      </c>
      <c r="BI194">
        <v>24</v>
      </c>
      <c r="BJ194">
        <v>23</v>
      </c>
      <c r="BK194">
        <v>17</v>
      </c>
      <c r="BL194">
        <v>23</v>
      </c>
      <c r="BM194">
        <v>42</v>
      </c>
      <c r="BN194">
        <v>9</v>
      </c>
      <c r="BO194">
        <v>14</v>
      </c>
      <c r="BP194">
        <v>11</v>
      </c>
      <c r="BQ194">
        <v>58</v>
      </c>
      <c r="BR194">
        <v>42</v>
      </c>
      <c r="BS194">
        <v>60</v>
      </c>
      <c r="BU194" s="1">
        <f>AVERAGE(Table9[[#This Row],[1-Jan-21]:[1-Dec-25]])</f>
        <v>18.566666666666666</v>
      </c>
    </row>
    <row r="195" spans="1:73" x14ac:dyDescent="0.55000000000000004">
      <c r="A195">
        <v>194</v>
      </c>
      <c r="B195" t="s">
        <v>71</v>
      </c>
      <c r="C195" t="s">
        <v>72</v>
      </c>
      <c r="D195" t="s">
        <v>73</v>
      </c>
      <c r="E195" t="s">
        <v>87</v>
      </c>
      <c r="F195">
        <v>107730</v>
      </c>
      <c r="G195" t="s">
        <v>317</v>
      </c>
      <c r="H195" t="s">
        <v>76</v>
      </c>
      <c r="I195" t="s">
        <v>80</v>
      </c>
      <c r="J195">
        <v>4.05</v>
      </c>
      <c r="K195">
        <v>115</v>
      </c>
      <c r="L195">
        <v>157</v>
      </c>
      <c r="M195">
        <v>45</v>
      </c>
      <c r="N195">
        <v>300</v>
      </c>
      <c r="O195">
        <v>65</v>
      </c>
      <c r="P195">
        <v>260</v>
      </c>
      <c r="Q195">
        <v>4</v>
      </c>
      <c r="R195">
        <v>80</v>
      </c>
      <c r="S195">
        <v>137</v>
      </c>
      <c r="T195">
        <v>162</v>
      </c>
      <c r="U195">
        <v>80</v>
      </c>
      <c r="V195">
        <v>29</v>
      </c>
      <c r="W195">
        <v>124</v>
      </c>
      <c r="X195">
        <v>15</v>
      </c>
      <c r="Y195">
        <v>95</v>
      </c>
      <c r="Z195">
        <v>35</v>
      </c>
      <c r="AA195">
        <v>72</v>
      </c>
      <c r="AB195">
        <v>70</v>
      </c>
      <c r="AC195">
        <v>45</v>
      </c>
      <c r="AD195">
        <v>23</v>
      </c>
      <c r="AE195">
        <v>52</v>
      </c>
      <c r="AF195">
        <v>30</v>
      </c>
      <c r="AG195">
        <v>0</v>
      </c>
      <c r="AH195">
        <v>22</v>
      </c>
      <c r="AI195">
        <v>65</v>
      </c>
      <c r="AJ195">
        <v>65</v>
      </c>
      <c r="AK195">
        <v>63</v>
      </c>
      <c r="AL195">
        <v>20</v>
      </c>
      <c r="AM195">
        <v>129</v>
      </c>
      <c r="AN195">
        <v>0</v>
      </c>
      <c r="AO195">
        <v>25</v>
      </c>
      <c r="AP195">
        <v>45</v>
      </c>
      <c r="AQ195">
        <v>0</v>
      </c>
      <c r="AR195">
        <v>15</v>
      </c>
      <c r="AS195">
        <v>25</v>
      </c>
      <c r="AT195">
        <v>36</v>
      </c>
      <c r="AU195">
        <v>54</v>
      </c>
      <c r="AV195">
        <v>2</v>
      </c>
      <c r="AW195">
        <v>71</v>
      </c>
      <c r="AX195">
        <v>70</v>
      </c>
      <c r="AY195">
        <v>29</v>
      </c>
      <c r="AZ195">
        <v>117</v>
      </c>
      <c r="BA195">
        <v>92</v>
      </c>
      <c r="BB195">
        <v>85</v>
      </c>
      <c r="BC195">
        <v>110</v>
      </c>
      <c r="BD195">
        <v>30</v>
      </c>
      <c r="BE195">
        <v>129</v>
      </c>
      <c r="BF195">
        <v>40</v>
      </c>
      <c r="BG195">
        <v>150</v>
      </c>
      <c r="BH195">
        <v>80</v>
      </c>
      <c r="BI195">
        <v>210</v>
      </c>
      <c r="BJ195">
        <v>80</v>
      </c>
      <c r="BK195">
        <v>213</v>
      </c>
      <c r="BL195">
        <v>50</v>
      </c>
      <c r="BM195">
        <v>125</v>
      </c>
      <c r="BN195">
        <v>110</v>
      </c>
      <c r="BO195">
        <v>70</v>
      </c>
      <c r="BP195">
        <v>34</v>
      </c>
      <c r="BQ195">
        <v>0</v>
      </c>
      <c r="BR195">
        <v>111</v>
      </c>
      <c r="BS195">
        <v>56</v>
      </c>
      <c r="BU195" s="1">
        <f>AVERAGE(Table9[[#This Row],[1-Jan-21]:[1-Dec-25]])</f>
        <v>76.11666666666666</v>
      </c>
    </row>
    <row r="196" spans="1:73" x14ac:dyDescent="0.55000000000000004">
      <c r="A196">
        <v>195</v>
      </c>
      <c r="B196" t="s">
        <v>71</v>
      </c>
      <c r="C196" t="s">
        <v>72</v>
      </c>
      <c r="D196" t="s">
        <v>73</v>
      </c>
      <c r="E196" t="s">
        <v>163</v>
      </c>
      <c r="F196">
        <v>109189</v>
      </c>
      <c r="G196" t="s">
        <v>318</v>
      </c>
      <c r="H196" t="s">
        <v>76</v>
      </c>
      <c r="I196" t="s">
        <v>80</v>
      </c>
      <c r="J196">
        <v>3.51</v>
      </c>
      <c r="K196">
        <v>25</v>
      </c>
      <c r="L196">
        <v>20</v>
      </c>
      <c r="M196">
        <v>20</v>
      </c>
      <c r="N196">
        <v>0</v>
      </c>
      <c r="O196">
        <v>30</v>
      </c>
      <c r="P196">
        <v>35</v>
      </c>
      <c r="Q196">
        <v>0</v>
      </c>
      <c r="R196">
        <v>65</v>
      </c>
      <c r="S196">
        <v>30</v>
      </c>
      <c r="T196">
        <v>0</v>
      </c>
      <c r="U196">
        <v>35</v>
      </c>
      <c r="V196">
        <v>0</v>
      </c>
      <c r="W196">
        <v>20</v>
      </c>
      <c r="X196">
        <v>30</v>
      </c>
      <c r="Y196">
        <v>0</v>
      </c>
      <c r="Z196">
        <v>50</v>
      </c>
      <c r="AA196">
        <v>20</v>
      </c>
      <c r="AB196">
        <v>40</v>
      </c>
      <c r="AC196">
        <v>70</v>
      </c>
      <c r="AD196">
        <v>0</v>
      </c>
      <c r="AE196">
        <v>0</v>
      </c>
      <c r="AF196">
        <v>23</v>
      </c>
      <c r="AG196">
        <v>30</v>
      </c>
      <c r="AH196">
        <v>46</v>
      </c>
      <c r="AI196">
        <v>51</v>
      </c>
      <c r="AJ196">
        <v>131</v>
      </c>
      <c r="AK196">
        <v>12</v>
      </c>
      <c r="AL196">
        <v>0</v>
      </c>
      <c r="AM196">
        <v>30</v>
      </c>
      <c r="AN196">
        <v>0</v>
      </c>
      <c r="AO196">
        <v>0</v>
      </c>
      <c r="AP196">
        <v>60</v>
      </c>
      <c r="AQ196">
        <v>0</v>
      </c>
      <c r="AR196">
        <v>54</v>
      </c>
      <c r="AS196">
        <v>80</v>
      </c>
      <c r="AT196">
        <v>34</v>
      </c>
      <c r="AU196">
        <v>0</v>
      </c>
      <c r="AV196">
        <v>0</v>
      </c>
      <c r="AW196">
        <v>0</v>
      </c>
      <c r="AX196">
        <v>50</v>
      </c>
      <c r="AY196">
        <v>25</v>
      </c>
      <c r="AZ196">
        <v>10</v>
      </c>
      <c r="BA196">
        <v>0</v>
      </c>
      <c r="BB196">
        <v>57</v>
      </c>
      <c r="BC196">
        <v>58</v>
      </c>
      <c r="BD196">
        <v>90</v>
      </c>
      <c r="BE196">
        <v>20</v>
      </c>
      <c r="BF196">
        <v>4</v>
      </c>
      <c r="BG196">
        <v>0</v>
      </c>
      <c r="BH196">
        <v>100</v>
      </c>
      <c r="BI196">
        <v>30</v>
      </c>
      <c r="BJ196">
        <v>125</v>
      </c>
      <c r="BK196">
        <v>70</v>
      </c>
      <c r="BL196">
        <v>10</v>
      </c>
      <c r="BM196">
        <v>0</v>
      </c>
      <c r="BN196">
        <v>30</v>
      </c>
      <c r="BO196">
        <v>0</v>
      </c>
      <c r="BP196">
        <v>0</v>
      </c>
      <c r="BQ196">
        <v>5</v>
      </c>
      <c r="BR196">
        <v>0</v>
      </c>
      <c r="BS196">
        <v>40</v>
      </c>
      <c r="BU196" s="1">
        <f>AVERAGE(Table9[[#This Row],[1-Jan-21]:[1-Dec-25]])</f>
        <v>28.75</v>
      </c>
    </row>
    <row r="197" spans="1:73" x14ac:dyDescent="0.55000000000000004">
      <c r="A197">
        <v>196</v>
      </c>
      <c r="B197" t="s">
        <v>71</v>
      </c>
      <c r="C197" t="s">
        <v>72</v>
      </c>
      <c r="D197" t="s">
        <v>73</v>
      </c>
      <c r="E197" t="s">
        <v>134</v>
      </c>
      <c r="F197">
        <v>108452</v>
      </c>
      <c r="G197" t="s">
        <v>319</v>
      </c>
      <c r="H197" t="s">
        <v>76</v>
      </c>
      <c r="I197" t="s">
        <v>80</v>
      </c>
      <c r="J197">
        <v>318</v>
      </c>
      <c r="K197">
        <v>4</v>
      </c>
      <c r="L197">
        <v>2</v>
      </c>
      <c r="M197">
        <v>5</v>
      </c>
      <c r="N197">
        <v>0</v>
      </c>
      <c r="O197">
        <v>8</v>
      </c>
      <c r="P197">
        <v>5</v>
      </c>
      <c r="Q197">
        <v>2</v>
      </c>
      <c r="R197">
        <v>4</v>
      </c>
      <c r="S197">
        <v>7</v>
      </c>
      <c r="T197">
        <v>1</v>
      </c>
      <c r="U197">
        <v>3</v>
      </c>
      <c r="V197">
        <v>1</v>
      </c>
      <c r="W197">
        <v>8</v>
      </c>
      <c r="X197">
        <v>5</v>
      </c>
      <c r="Y197">
        <v>6</v>
      </c>
      <c r="Z197">
        <v>1</v>
      </c>
      <c r="AA197">
        <v>7</v>
      </c>
      <c r="AB197">
        <v>2</v>
      </c>
      <c r="AC197">
        <v>0</v>
      </c>
      <c r="AD197">
        <v>3</v>
      </c>
      <c r="AE197">
        <v>1</v>
      </c>
      <c r="AF197">
        <v>1</v>
      </c>
      <c r="AG197">
        <v>5</v>
      </c>
      <c r="AH197">
        <v>2</v>
      </c>
      <c r="AI197">
        <v>3</v>
      </c>
      <c r="AJ197">
        <v>0</v>
      </c>
      <c r="AK197">
        <v>0</v>
      </c>
      <c r="AL197">
        <v>0</v>
      </c>
      <c r="AM197">
        <v>2</v>
      </c>
      <c r="AN197">
        <v>3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</v>
      </c>
      <c r="AW197">
        <v>4</v>
      </c>
      <c r="AX197">
        <v>0</v>
      </c>
      <c r="AY197">
        <v>0</v>
      </c>
      <c r="AZ197">
        <v>0</v>
      </c>
      <c r="BA197">
        <v>2</v>
      </c>
      <c r="BB197">
        <v>2</v>
      </c>
      <c r="BC197">
        <v>2</v>
      </c>
      <c r="BD197">
        <v>0</v>
      </c>
      <c r="BE197">
        <v>2</v>
      </c>
      <c r="BF197">
        <v>2</v>
      </c>
      <c r="BG197">
        <v>0</v>
      </c>
      <c r="BH197">
        <v>1</v>
      </c>
      <c r="BI197">
        <v>2</v>
      </c>
      <c r="BJ197">
        <v>0</v>
      </c>
      <c r="BK197">
        <v>2</v>
      </c>
      <c r="BL197">
        <v>2</v>
      </c>
      <c r="BM197">
        <v>2</v>
      </c>
      <c r="BN197">
        <v>0</v>
      </c>
      <c r="BO197">
        <v>3</v>
      </c>
      <c r="BP197">
        <v>3</v>
      </c>
      <c r="BQ197">
        <v>5</v>
      </c>
      <c r="BR197">
        <v>0</v>
      </c>
      <c r="BS197">
        <v>41</v>
      </c>
      <c r="BU197" s="1">
        <f>AVERAGE(Table9[[#This Row],[1-Jan-21]:[1-Dec-25]])</f>
        <v>2.1333333333333333</v>
      </c>
    </row>
    <row r="198" spans="1:73" x14ac:dyDescent="0.55000000000000004">
      <c r="A198">
        <v>197</v>
      </c>
      <c r="B198" t="s">
        <v>71</v>
      </c>
      <c r="C198" t="s">
        <v>72</v>
      </c>
      <c r="D198" t="s">
        <v>73</v>
      </c>
      <c r="E198" t="s">
        <v>134</v>
      </c>
      <c r="F198">
        <v>108453</v>
      </c>
      <c r="G198" t="s">
        <v>320</v>
      </c>
      <c r="H198" t="s">
        <v>76</v>
      </c>
      <c r="I198" t="s">
        <v>80</v>
      </c>
      <c r="J198">
        <v>331</v>
      </c>
      <c r="K198">
        <v>1</v>
      </c>
      <c r="L198">
        <v>2</v>
      </c>
      <c r="M198">
        <v>3</v>
      </c>
      <c r="N198">
        <v>3</v>
      </c>
      <c r="O198">
        <v>1</v>
      </c>
      <c r="P198">
        <v>0</v>
      </c>
      <c r="Q198">
        <v>1</v>
      </c>
      <c r="R198">
        <v>3</v>
      </c>
      <c r="S198">
        <v>4</v>
      </c>
      <c r="T198">
        <v>2</v>
      </c>
      <c r="U198">
        <v>0</v>
      </c>
      <c r="V198">
        <v>1</v>
      </c>
      <c r="W198">
        <v>3</v>
      </c>
      <c r="X198">
        <v>0</v>
      </c>
      <c r="Y198">
        <v>2</v>
      </c>
      <c r="Z198">
        <v>2</v>
      </c>
      <c r="AA198">
        <v>2</v>
      </c>
      <c r="AB198">
        <v>0</v>
      </c>
      <c r="AC198">
        <v>2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4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3</v>
      </c>
      <c r="AX198">
        <v>2</v>
      </c>
      <c r="AY198">
        <v>4</v>
      </c>
      <c r="AZ198">
        <v>1</v>
      </c>
      <c r="BA198">
        <v>2</v>
      </c>
      <c r="BB198">
        <v>1</v>
      </c>
      <c r="BC198">
        <v>4</v>
      </c>
      <c r="BD198">
        <v>0</v>
      </c>
      <c r="BE198">
        <v>1</v>
      </c>
      <c r="BF198">
        <v>1</v>
      </c>
      <c r="BG198">
        <v>0</v>
      </c>
      <c r="BH198">
        <v>0</v>
      </c>
      <c r="BI198">
        <v>2</v>
      </c>
      <c r="BJ198">
        <v>3</v>
      </c>
      <c r="BK198">
        <v>6</v>
      </c>
      <c r="BL198">
        <v>0</v>
      </c>
      <c r="BM198">
        <v>0</v>
      </c>
      <c r="BN198">
        <v>4</v>
      </c>
      <c r="BO198">
        <v>1</v>
      </c>
      <c r="BP198">
        <v>6</v>
      </c>
      <c r="BQ198">
        <v>0</v>
      </c>
      <c r="BR198">
        <v>0</v>
      </c>
      <c r="BS198">
        <v>40</v>
      </c>
      <c r="BU198" s="1">
        <f>AVERAGE(Table9[[#This Row],[1-Jan-21]:[1-Dec-25]])</f>
        <v>1.45</v>
      </c>
    </row>
    <row r="199" spans="1:73" x14ac:dyDescent="0.55000000000000004">
      <c r="A199">
        <v>198</v>
      </c>
      <c r="B199" t="s">
        <v>71</v>
      </c>
      <c r="C199" t="s">
        <v>72</v>
      </c>
      <c r="D199" t="s">
        <v>73</v>
      </c>
      <c r="E199" t="s">
        <v>99</v>
      </c>
      <c r="F199">
        <v>107873</v>
      </c>
      <c r="G199" t="s">
        <v>321</v>
      </c>
      <c r="H199" t="s">
        <v>76</v>
      </c>
      <c r="I199" t="s">
        <v>80</v>
      </c>
      <c r="J199">
        <v>867.9</v>
      </c>
      <c r="K199">
        <v>24</v>
      </c>
      <c r="L199">
        <v>3</v>
      </c>
      <c r="M199">
        <v>5</v>
      </c>
      <c r="N199">
        <v>0</v>
      </c>
      <c r="O199">
        <v>8</v>
      </c>
      <c r="P199">
        <v>8</v>
      </c>
      <c r="Q199">
        <v>3</v>
      </c>
      <c r="R199">
        <v>1</v>
      </c>
      <c r="S199">
        <v>5</v>
      </c>
      <c r="T199">
        <v>1</v>
      </c>
      <c r="U199">
        <v>35</v>
      </c>
      <c r="V199">
        <v>7</v>
      </c>
      <c r="W199">
        <v>6</v>
      </c>
      <c r="X199">
        <v>4</v>
      </c>
      <c r="Y199">
        <v>2</v>
      </c>
      <c r="Z199">
        <v>0</v>
      </c>
      <c r="AA199">
        <v>4</v>
      </c>
      <c r="AB199">
        <v>2</v>
      </c>
      <c r="AC199">
        <v>0</v>
      </c>
      <c r="AD199">
        <v>2</v>
      </c>
      <c r="AE199">
        <v>2</v>
      </c>
      <c r="AF199">
        <v>0</v>
      </c>
      <c r="AG199">
        <v>2</v>
      </c>
      <c r="AH199">
        <v>4</v>
      </c>
      <c r="AI199">
        <v>1</v>
      </c>
      <c r="AJ199">
        <v>1</v>
      </c>
      <c r="AK199">
        <v>3</v>
      </c>
      <c r="AL199">
        <v>0</v>
      </c>
      <c r="AM199">
        <v>5</v>
      </c>
      <c r="AN199">
        <v>8</v>
      </c>
      <c r="AO199">
        <v>2</v>
      </c>
      <c r="AP199">
        <v>5</v>
      </c>
      <c r="AQ199">
        <v>10</v>
      </c>
      <c r="AR199">
        <v>3</v>
      </c>
      <c r="AS199">
        <v>0</v>
      </c>
      <c r="AT199">
        <v>11</v>
      </c>
      <c r="AU199">
        <v>9</v>
      </c>
      <c r="AV199">
        <v>9</v>
      </c>
      <c r="AW199">
        <v>4</v>
      </c>
      <c r="AX199">
        <v>3</v>
      </c>
      <c r="AY199">
        <v>4</v>
      </c>
      <c r="AZ199">
        <v>2</v>
      </c>
      <c r="BA199">
        <v>3</v>
      </c>
      <c r="BB199">
        <v>8</v>
      </c>
      <c r="BC199">
        <v>5</v>
      </c>
      <c r="BD199">
        <v>13</v>
      </c>
      <c r="BE199">
        <v>16</v>
      </c>
      <c r="BF199">
        <v>14</v>
      </c>
      <c r="BG199">
        <v>0</v>
      </c>
      <c r="BH199">
        <v>0</v>
      </c>
      <c r="BI199">
        <v>0</v>
      </c>
      <c r="BJ199">
        <v>4</v>
      </c>
      <c r="BK199">
        <v>0</v>
      </c>
      <c r="BL199">
        <v>1</v>
      </c>
      <c r="BM199">
        <v>6</v>
      </c>
      <c r="BN199">
        <v>1</v>
      </c>
      <c r="BO199">
        <v>10</v>
      </c>
      <c r="BP199">
        <v>12</v>
      </c>
      <c r="BQ199">
        <v>8</v>
      </c>
      <c r="BR199">
        <v>13</v>
      </c>
      <c r="BS199">
        <v>50</v>
      </c>
      <c r="BU199" s="1">
        <f>AVERAGE(Table9[[#This Row],[1-Jan-21]:[1-Dec-25]])</f>
        <v>5.3666666666666663</v>
      </c>
    </row>
    <row r="200" spans="1:73" x14ac:dyDescent="0.55000000000000004">
      <c r="A200">
        <v>199</v>
      </c>
      <c r="B200" t="s">
        <v>71</v>
      </c>
      <c r="C200" t="s">
        <v>72</v>
      </c>
      <c r="D200" t="s">
        <v>73</v>
      </c>
      <c r="E200" t="s">
        <v>99</v>
      </c>
      <c r="F200">
        <v>107875</v>
      </c>
      <c r="G200" t="s">
        <v>322</v>
      </c>
      <c r="H200" t="s">
        <v>76</v>
      </c>
      <c r="I200" t="s">
        <v>80</v>
      </c>
      <c r="J200">
        <v>1220.73</v>
      </c>
      <c r="K200">
        <v>4</v>
      </c>
      <c r="L200">
        <v>2</v>
      </c>
      <c r="M200">
        <v>28</v>
      </c>
      <c r="N200">
        <v>6</v>
      </c>
      <c r="O200">
        <v>20</v>
      </c>
      <c r="P200">
        <v>12</v>
      </c>
      <c r="Q200">
        <v>0</v>
      </c>
      <c r="R200">
        <v>0</v>
      </c>
      <c r="S200">
        <v>24</v>
      </c>
      <c r="T200">
        <v>13</v>
      </c>
      <c r="U200">
        <v>1</v>
      </c>
      <c r="V200">
        <v>3</v>
      </c>
      <c r="W200">
        <v>6</v>
      </c>
      <c r="X200">
        <v>12</v>
      </c>
      <c r="Y200">
        <v>9</v>
      </c>
      <c r="Z200">
        <v>23</v>
      </c>
      <c r="AA200">
        <v>13</v>
      </c>
      <c r="AB200">
        <v>18</v>
      </c>
      <c r="AC200">
        <v>2</v>
      </c>
      <c r="AD200">
        <v>0</v>
      </c>
      <c r="AE200">
        <v>3</v>
      </c>
      <c r="AF200">
        <v>4</v>
      </c>
      <c r="AG200">
        <v>0</v>
      </c>
      <c r="AH200">
        <v>7</v>
      </c>
      <c r="AI200">
        <v>6</v>
      </c>
      <c r="AJ200">
        <v>4</v>
      </c>
      <c r="AK200">
        <v>0</v>
      </c>
      <c r="AL200">
        <v>0</v>
      </c>
      <c r="AM200">
        <v>5</v>
      </c>
      <c r="AN200">
        <v>1</v>
      </c>
      <c r="AO200">
        <v>3</v>
      </c>
      <c r="AP200">
        <v>8</v>
      </c>
      <c r="AQ200">
        <v>8</v>
      </c>
      <c r="AR200">
        <v>20</v>
      </c>
      <c r="AS200">
        <v>6</v>
      </c>
      <c r="AT200">
        <v>4</v>
      </c>
      <c r="AU200">
        <v>5</v>
      </c>
      <c r="AV200">
        <v>5</v>
      </c>
      <c r="AW200">
        <v>10</v>
      </c>
      <c r="AX200">
        <v>4</v>
      </c>
      <c r="AY200">
        <v>7</v>
      </c>
      <c r="AZ200">
        <v>5</v>
      </c>
      <c r="BA200">
        <v>9</v>
      </c>
      <c r="BB200">
        <v>4</v>
      </c>
      <c r="BC200">
        <v>2</v>
      </c>
      <c r="BD200">
        <v>3</v>
      </c>
      <c r="BE200">
        <v>9</v>
      </c>
      <c r="BF200">
        <v>3</v>
      </c>
      <c r="BG200">
        <v>7</v>
      </c>
      <c r="BH200">
        <v>7</v>
      </c>
      <c r="BI200">
        <v>5</v>
      </c>
      <c r="BJ200">
        <v>4</v>
      </c>
      <c r="BK200">
        <v>0</v>
      </c>
      <c r="BL200">
        <v>5</v>
      </c>
      <c r="BM200">
        <v>1</v>
      </c>
      <c r="BN200">
        <v>1</v>
      </c>
      <c r="BO200">
        <v>6</v>
      </c>
      <c r="BP200">
        <v>17</v>
      </c>
      <c r="BQ200">
        <v>4</v>
      </c>
      <c r="BR200">
        <v>1</v>
      </c>
      <c r="BS200">
        <v>53</v>
      </c>
      <c r="BU200" s="1">
        <f>AVERAGE(Table9[[#This Row],[1-Jan-21]:[1-Dec-25]])</f>
        <v>6.65</v>
      </c>
    </row>
    <row r="201" spans="1:73" x14ac:dyDescent="0.55000000000000004">
      <c r="A201">
        <v>200</v>
      </c>
      <c r="B201" t="s">
        <v>71</v>
      </c>
      <c r="C201" t="s">
        <v>72</v>
      </c>
      <c r="D201" t="s">
        <v>73</v>
      </c>
      <c r="E201" t="s">
        <v>87</v>
      </c>
      <c r="F201">
        <v>107603</v>
      </c>
      <c r="G201" t="s">
        <v>323</v>
      </c>
      <c r="H201" t="s">
        <v>76</v>
      </c>
      <c r="I201" t="s">
        <v>80</v>
      </c>
      <c r="J201">
        <v>2.91</v>
      </c>
      <c r="K201">
        <v>0</v>
      </c>
      <c r="L201">
        <v>24</v>
      </c>
      <c r="M201">
        <v>20</v>
      </c>
      <c r="N201">
        <v>113</v>
      </c>
      <c r="O201">
        <v>20</v>
      </c>
      <c r="P201">
        <v>79</v>
      </c>
      <c r="Q201">
        <v>50</v>
      </c>
      <c r="R201">
        <v>65</v>
      </c>
      <c r="S201">
        <v>0</v>
      </c>
      <c r="T201">
        <v>10</v>
      </c>
      <c r="U201">
        <v>150</v>
      </c>
      <c r="V201">
        <v>46</v>
      </c>
      <c r="W201">
        <v>0</v>
      </c>
      <c r="X201">
        <v>103</v>
      </c>
      <c r="Y201">
        <v>30</v>
      </c>
      <c r="Z201">
        <v>50</v>
      </c>
      <c r="AA201">
        <v>55</v>
      </c>
      <c r="AB201">
        <v>80</v>
      </c>
      <c r="AC201">
        <v>34</v>
      </c>
      <c r="AD201">
        <v>10</v>
      </c>
      <c r="AE201">
        <v>30</v>
      </c>
      <c r="AF201">
        <v>40</v>
      </c>
      <c r="AG201">
        <v>32</v>
      </c>
      <c r="AH201">
        <v>0</v>
      </c>
      <c r="AI201">
        <v>20</v>
      </c>
      <c r="AJ201">
        <v>0</v>
      </c>
      <c r="AK201">
        <v>0</v>
      </c>
      <c r="AL201">
        <v>10</v>
      </c>
      <c r="AM201">
        <v>0</v>
      </c>
      <c r="AN201">
        <v>15</v>
      </c>
      <c r="AO201">
        <v>0</v>
      </c>
      <c r="AP201">
        <v>2</v>
      </c>
      <c r="AQ201">
        <v>10</v>
      </c>
      <c r="AR201">
        <v>2</v>
      </c>
      <c r="AS201">
        <v>0</v>
      </c>
      <c r="AT201">
        <v>15</v>
      </c>
      <c r="AU201">
        <v>10</v>
      </c>
      <c r="AV201">
        <v>23</v>
      </c>
      <c r="AW201">
        <v>42</v>
      </c>
      <c r="AX201">
        <v>0</v>
      </c>
      <c r="AY201">
        <v>0</v>
      </c>
      <c r="AZ201">
        <v>10</v>
      </c>
      <c r="BA201">
        <v>0</v>
      </c>
      <c r="BB201">
        <v>10</v>
      </c>
      <c r="BC201">
        <v>20</v>
      </c>
      <c r="BD201">
        <v>53</v>
      </c>
      <c r="BE201">
        <v>69</v>
      </c>
      <c r="BF201">
        <v>30</v>
      </c>
      <c r="BG201">
        <v>42</v>
      </c>
      <c r="BH201">
        <v>50</v>
      </c>
      <c r="BI201">
        <v>50</v>
      </c>
      <c r="BJ201">
        <v>47</v>
      </c>
      <c r="BK201">
        <v>99</v>
      </c>
      <c r="BL201">
        <v>4</v>
      </c>
      <c r="BM201">
        <v>31</v>
      </c>
      <c r="BN201">
        <v>10</v>
      </c>
      <c r="BO201">
        <v>20</v>
      </c>
      <c r="BP201">
        <v>0</v>
      </c>
      <c r="BQ201">
        <v>67</v>
      </c>
      <c r="BR201">
        <v>20</v>
      </c>
      <c r="BS201">
        <v>47</v>
      </c>
      <c r="BU201" s="1">
        <f>AVERAGE(Table9[[#This Row],[1-Jan-21]:[1-Dec-25]])</f>
        <v>30.366666666666667</v>
      </c>
    </row>
    <row r="202" spans="1:73" x14ac:dyDescent="0.55000000000000004">
      <c r="A202">
        <v>201</v>
      </c>
      <c r="B202" t="s">
        <v>71</v>
      </c>
      <c r="C202" t="s">
        <v>72</v>
      </c>
      <c r="D202" t="s">
        <v>73</v>
      </c>
      <c r="E202" t="s">
        <v>163</v>
      </c>
      <c r="F202">
        <v>109182</v>
      </c>
      <c r="G202" t="s">
        <v>324</v>
      </c>
      <c r="H202" t="s">
        <v>76</v>
      </c>
      <c r="I202" t="s">
        <v>80</v>
      </c>
      <c r="J202">
        <v>2.8</v>
      </c>
      <c r="K202">
        <v>0</v>
      </c>
      <c r="L202">
        <v>12</v>
      </c>
      <c r="M202">
        <v>10</v>
      </c>
      <c r="N202">
        <v>50</v>
      </c>
      <c r="O202">
        <v>20</v>
      </c>
      <c r="P202">
        <v>25</v>
      </c>
      <c r="Q202">
        <v>53</v>
      </c>
      <c r="R202">
        <v>0</v>
      </c>
      <c r="S202">
        <v>20</v>
      </c>
      <c r="T202">
        <v>50</v>
      </c>
      <c r="U202">
        <v>60</v>
      </c>
      <c r="V202">
        <v>12</v>
      </c>
      <c r="W202">
        <v>40</v>
      </c>
      <c r="X202">
        <v>45</v>
      </c>
      <c r="Y202">
        <v>60</v>
      </c>
      <c r="Z202">
        <v>95</v>
      </c>
      <c r="AA202">
        <v>80</v>
      </c>
      <c r="AB202">
        <v>8</v>
      </c>
      <c r="AC202">
        <v>0</v>
      </c>
      <c r="AD202">
        <v>4</v>
      </c>
      <c r="AE202">
        <v>20</v>
      </c>
      <c r="AF202">
        <v>30</v>
      </c>
      <c r="AG202">
        <v>60</v>
      </c>
      <c r="AH202">
        <v>70</v>
      </c>
      <c r="AI202">
        <v>40</v>
      </c>
      <c r="AJ202">
        <v>88</v>
      </c>
      <c r="AK202">
        <v>13</v>
      </c>
      <c r="AL202">
        <v>0</v>
      </c>
      <c r="AM202">
        <v>110</v>
      </c>
      <c r="AN202">
        <v>116</v>
      </c>
      <c r="AO202">
        <v>50</v>
      </c>
      <c r="AP202">
        <v>59</v>
      </c>
      <c r="AQ202">
        <v>0</v>
      </c>
      <c r="AR202">
        <v>26</v>
      </c>
      <c r="AS202">
        <v>35</v>
      </c>
      <c r="AT202">
        <v>20</v>
      </c>
      <c r="AU202">
        <v>38</v>
      </c>
      <c r="AV202">
        <v>80</v>
      </c>
      <c r="AW202">
        <v>70</v>
      </c>
      <c r="AX202">
        <v>74</v>
      </c>
      <c r="AY202">
        <v>130</v>
      </c>
      <c r="AZ202">
        <v>18</v>
      </c>
      <c r="BA202">
        <v>150</v>
      </c>
      <c r="BB202">
        <v>10</v>
      </c>
      <c r="BC202">
        <v>0</v>
      </c>
      <c r="BD202">
        <v>0</v>
      </c>
      <c r="BE202">
        <v>0</v>
      </c>
      <c r="BF202">
        <v>40</v>
      </c>
      <c r="BG202">
        <v>0</v>
      </c>
      <c r="BH202">
        <v>0</v>
      </c>
      <c r="BI202">
        <v>8</v>
      </c>
      <c r="BJ202">
        <v>5</v>
      </c>
      <c r="BK202">
        <v>0</v>
      </c>
      <c r="BL202">
        <v>0</v>
      </c>
      <c r="BM202">
        <v>0</v>
      </c>
      <c r="BN202">
        <v>22</v>
      </c>
      <c r="BO202">
        <v>0</v>
      </c>
      <c r="BP202">
        <v>20</v>
      </c>
      <c r="BQ202">
        <v>0</v>
      </c>
      <c r="BR202">
        <v>0</v>
      </c>
      <c r="BS202">
        <v>44</v>
      </c>
      <c r="BU202" s="1">
        <f>AVERAGE(Table9[[#This Row],[1-Jan-21]:[1-Dec-25]])</f>
        <v>34.1</v>
      </c>
    </row>
    <row r="203" spans="1:73" x14ac:dyDescent="0.55000000000000004">
      <c r="A203">
        <v>202</v>
      </c>
      <c r="B203" t="s">
        <v>71</v>
      </c>
      <c r="C203" t="s">
        <v>72</v>
      </c>
      <c r="D203" t="s">
        <v>73</v>
      </c>
      <c r="E203" t="s">
        <v>109</v>
      </c>
      <c r="F203">
        <v>109713</v>
      </c>
      <c r="G203" t="s">
        <v>325</v>
      </c>
      <c r="H203" t="s">
        <v>76</v>
      </c>
      <c r="I203" t="s">
        <v>80</v>
      </c>
      <c r="J203">
        <v>13669.49</v>
      </c>
      <c r="K203">
        <v>0</v>
      </c>
      <c r="L203">
        <v>0</v>
      </c>
      <c r="M203">
        <v>1</v>
      </c>
      <c r="N203">
        <v>12</v>
      </c>
      <c r="O203">
        <v>9</v>
      </c>
      <c r="P203">
        <v>1</v>
      </c>
      <c r="Q203">
        <v>5</v>
      </c>
      <c r="R203">
        <v>1</v>
      </c>
      <c r="S203">
        <v>10</v>
      </c>
      <c r="T203">
        <v>10</v>
      </c>
      <c r="U203">
        <v>13</v>
      </c>
      <c r="V203">
        <v>5</v>
      </c>
      <c r="W203">
        <v>3</v>
      </c>
      <c r="X203">
        <v>7</v>
      </c>
      <c r="Y203">
        <v>8</v>
      </c>
      <c r="Z203">
        <v>15</v>
      </c>
      <c r="AA203">
        <v>7</v>
      </c>
      <c r="AB203">
        <v>3</v>
      </c>
      <c r="AC203">
        <v>1</v>
      </c>
      <c r="AD203">
        <v>6</v>
      </c>
      <c r="AE203">
        <v>7</v>
      </c>
      <c r="AF203">
        <v>3</v>
      </c>
      <c r="AG203">
        <v>1</v>
      </c>
      <c r="AH203">
        <v>6</v>
      </c>
      <c r="AI203">
        <v>4</v>
      </c>
      <c r="AJ203">
        <v>1</v>
      </c>
      <c r="AK203">
        <v>5</v>
      </c>
      <c r="AL203">
        <v>6</v>
      </c>
      <c r="AM203">
        <v>8</v>
      </c>
      <c r="AN203">
        <v>7</v>
      </c>
      <c r="AO203">
        <v>8</v>
      </c>
      <c r="AP203">
        <v>18</v>
      </c>
      <c r="AQ203">
        <v>1</v>
      </c>
      <c r="AR203">
        <v>4</v>
      </c>
      <c r="AS203">
        <v>4</v>
      </c>
      <c r="AT203">
        <v>2</v>
      </c>
      <c r="AU203">
        <v>3</v>
      </c>
      <c r="AV203">
        <v>5</v>
      </c>
      <c r="AW203">
        <v>4</v>
      </c>
      <c r="AX203">
        <v>9</v>
      </c>
      <c r="AY203">
        <v>16</v>
      </c>
      <c r="AZ203">
        <v>7</v>
      </c>
      <c r="BA203">
        <v>9</v>
      </c>
      <c r="BB203">
        <v>9</v>
      </c>
      <c r="BC203">
        <v>15</v>
      </c>
      <c r="BD203">
        <v>8</v>
      </c>
      <c r="BE203">
        <v>12</v>
      </c>
      <c r="BF203">
        <v>3</v>
      </c>
      <c r="BG203">
        <v>7</v>
      </c>
      <c r="BH203">
        <v>10</v>
      </c>
      <c r="BI203">
        <v>10</v>
      </c>
      <c r="BJ203">
        <v>21</v>
      </c>
      <c r="BK203">
        <v>11</v>
      </c>
      <c r="BL203">
        <v>13</v>
      </c>
      <c r="BM203">
        <v>15</v>
      </c>
      <c r="BN203">
        <v>8</v>
      </c>
      <c r="BO203">
        <v>11</v>
      </c>
      <c r="BP203">
        <v>7</v>
      </c>
      <c r="BQ203">
        <v>10</v>
      </c>
      <c r="BR203">
        <v>12</v>
      </c>
      <c r="BS203">
        <v>58</v>
      </c>
      <c r="BU203" s="1">
        <f>AVERAGE(Table9[[#This Row],[1-Jan-21]:[1-Dec-25]])</f>
        <v>7.2833333333333332</v>
      </c>
    </row>
    <row r="204" spans="1:73" x14ac:dyDescent="0.55000000000000004">
      <c r="A204">
        <v>203</v>
      </c>
      <c r="B204" t="s">
        <v>71</v>
      </c>
      <c r="C204" t="s">
        <v>72</v>
      </c>
      <c r="D204" t="s">
        <v>73</v>
      </c>
      <c r="E204" t="s">
        <v>78</v>
      </c>
      <c r="F204">
        <v>109011</v>
      </c>
      <c r="G204" t="s">
        <v>326</v>
      </c>
      <c r="H204" t="s">
        <v>76</v>
      </c>
      <c r="I204" t="s">
        <v>80</v>
      </c>
      <c r="J204">
        <v>5.66</v>
      </c>
      <c r="K204">
        <v>88</v>
      </c>
      <c r="L204">
        <v>99</v>
      </c>
      <c r="M204">
        <v>37</v>
      </c>
      <c r="N204">
        <v>37</v>
      </c>
      <c r="O204">
        <v>58</v>
      </c>
      <c r="P204">
        <v>61</v>
      </c>
      <c r="Q204">
        <v>21</v>
      </c>
      <c r="R204">
        <v>95</v>
      </c>
      <c r="S204">
        <v>54</v>
      </c>
      <c r="T204">
        <v>61</v>
      </c>
      <c r="U204">
        <v>35</v>
      </c>
      <c r="V204">
        <v>79</v>
      </c>
      <c r="W204">
        <v>68</v>
      </c>
      <c r="X204">
        <v>74</v>
      </c>
      <c r="Y204">
        <v>30</v>
      </c>
      <c r="Z204">
        <v>19</v>
      </c>
      <c r="AA204">
        <v>25</v>
      </c>
      <c r="AB204">
        <v>47</v>
      </c>
      <c r="AC204">
        <v>6</v>
      </c>
      <c r="AD204">
        <v>33</v>
      </c>
      <c r="AE204">
        <v>2</v>
      </c>
      <c r="AF204">
        <v>33</v>
      </c>
      <c r="AG204">
        <v>35</v>
      </c>
      <c r="AH204">
        <v>20</v>
      </c>
      <c r="AI204">
        <v>41</v>
      </c>
      <c r="AJ204">
        <v>26</v>
      </c>
      <c r="AK204">
        <v>4</v>
      </c>
      <c r="AL204">
        <v>7</v>
      </c>
      <c r="AM204">
        <v>22</v>
      </c>
      <c r="AN204">
        <v>35</v>
      </c>
      <c r="AO204">
        <v>54</v>
      </c>
      <c r="AP204">
        <v>29</v>
      </c>
      <c r="AQ204">
        <v>29</v>
      </c>
      <c r="AR204">
        <v>16</v>
      </c>
      <c r="AS204">
        <v>15</v>
      </c>
      <c r="AT204">
        <v>17</v>
      </c>
      <c r="AU204">
        <v>47</v>
      </c>
      <c r="AV204">
        <v>25</v>
      </c>
      <c r="AW204">
        <v>84</v>
      </c>
      <c r="AX204">
        <v>79</v>
      </c>
      <c r="AY204">
        <v>28</v>
      </c>
      <c r="AZ204">
        <v>16</v>
      </c>
      <c r="BA204">
        <v>10</v>
      </c>
      <c r="BB204">
        <v>31</v>
      </c>
      <c r="BC204">
        <v>10</v>
      </c>
      <c r="BD204">
        <v>64</v>
      </c>
      <c r="BE204">
        <v>73</v>
      </c>
      <c r="BF204">
        <v>55</v>
      </c>
      <c r="BG204">
        <v>115</v>
      </c>
      <c r="BH204">
        <v>96</v>
      </c>
      <c r="BI204">
        <v>20</v>
      </c>
      <c r="BJ204">
        <v>55</v>
      </c>
      <c r="BK204">
        <v>13</v>
      </c>
      <c r="BL204">
        <v>10</v>
      </c>
      <c r="BM204">
        <v>64</v>
      </c>
      <c r="BN204">
        <v>39</v>
      </c>
      <c r="BO204">
        <v>96</v>
      </c>
      <c r="BP204">
        <v>50</v>
      </c>
      <c r="BQ204">
        <v>6</v>
      </c>
      <c r="BR204">
        <v>8</v>
      </c>
      <c r="BS204">
        <v>60</v>
      </c>
      <c r="BU204" s="1">
        <f>AVERAGE(Table9[[#This Row],[1-Jan-21]:[1-Dec-25]])</f>
        <v>41.766666666666666</v>
      </c>
    </row>
    <row r="205" spans="1:73" x14ac:dyDescent="0.55000000000000004">
      <c r="A205">
        <v>204</v>
      </c>
      <c r="B205" t="s">
        <v>71</v>
      </c>
      <c r="C205" t="s">
        <v>72</v>
      </c>
      <c r="D205" t="s">
        <v>73</v>
      </c>
      <c r="E205" t="s">
        <v>78</v>
      </c>
      <c r="F205">
        <v>109015</v>
      </c>
      <c r="G205" t="s">
        <v>327</v>
      </c>
      <c r="H205" t="s">
        <v>76</v>
      </c>
      <c r="I205" t="s">
        <v>80</v>
      </c>
      <c r="J205">
        <v>13.89</v>
      </c>
      <c r="K205">
        <v>105</v>
      </c>
      <c r="L205">
        <v>29</v>
      </c>
      <c r="M205">
        <v>73</v>
      </c>
      <c r="N205">
        <v>70</v>
      </c>
      <c r="O205">
        <v>73</v>
      </c>
      <c r="P205">
        <v>134</v>
      </c>
      <c r="Q205">
        <v>114</v>
      </c>
      <c r="R205">
        <v>62</v>
      </c>
      <c r="S205">
        <v>120</v>
      </c>
      <c r="T205">
        <v>52</v>
      </c>
      <c r="U205">
        <v>208</v>
      </c>
      <c r="V205">
        <v>54</v>
      </c>
      <c r="W205">
        <v>60</v>
      </c>
      <c r="X205">
        <v>46</v>
      </c>
      <c r="Y205">
        <v>53</v>
      </c>
      <c r="Z205">
        <v>115</v>
      </c>
      <c r="AA205">
        <v>198</v>
      </c>
      <c r="AB205">
        <v>82</v>
      </c>
      <c r="AC205">
        <v>22</v>
      </c>
      <c r="AD205">
        <v>42</v>
      </c>
      <c r="AE205">
        <v>32</v>
      </c>
      <c r="AF205">
        <v>59</v>
      </c>
      <c r="AG205">
        <v>71</v>
      </c>
      <c r="AH205">
        <v>23</v>
      </c>
      <c r="AI205">
        <v>39</v>
      </c>
      <c r="AJ205">
        <v>73</v>
      </c>
      <c r="AK205">
        <v>41</v>
      </c>
      <c r="AL205">
        <v>500</v>
      </c>
      <c r="AM205">
        <v>17</v>
      </c>
      <c r="AN205">
        <v>22</v>
      </c>
      <c r="AO205">
        <v>19</v>
      </c>
      <c r="AP205">
        <v>16</v>
      </c>
      <c r="AQ205">
        <v>27</v>
      </c>
      <c r="AR205">
        <v>34</v>
      </c>
      <c r="AS205">
        <v>36</v>
      </c>
      <c r="AT205">
        <v>51</v>
      </c>
      <c r="AU205">
        <v>37</v>
      </c>
      <c r="AV205">
        <v>43</v>
      </c>
      <c r="AW205">
        <v>116</v>
      </c>
      <c r="AX205">
        <v>21</v>
      </c>
      <c r="AY205">
        <v>32</v>
      </c>
      <c r="AZ205">
        <v>45</v>
      </c>
      <c r="BA205">
        <v>81</v>
      </c>
      <c r="BB205">
        <v>49</v>
      </c>
      <c r="BC205">
        <v>99</v>
      </c>
      <c r="BD205">
        <v>70</v>
      </c>
      <c r="BE205">
        <v>45</v>
      </c>
      <c r="BF205">
        <v>81</v>
      </c>
      <c r="BG205">
        <v>24</v>
      </c>
      <c r="BH205">
        <v>76</v>
      </c>
      <c r="BI205">
        <v>32</v>
      </c>
      <c r="BJ205">
        <v>50</v>
      </c>
      <c r="BK205">
        <v>44</v>
      </c>
      <c r="BL205">
        <v>57</v>
      </c>
      <c r="BM205">
        <v>93</v>
      </c>
      <c r="BN205">
        <v>57</v>
      </c>
      <c r="BO205">
        <v>53</v>
      </c>
      <c r="BP205">
        <v>105</v>
      </c>
      <c r="BQ205">
        <v>14</v>
      </c>
      <c r="BR205">
        <v>59</v>
      </c>
      <c r="BS205">
        <v>60</v>
      </c>
      <c r="BU205" s="1">
        <f>AVERAGE(Table9[[#This Row],[1-Jan-21]:[1-Dec-25]])</f>
        <v>69.25</v>
      </c>
    </row>
    <row r="206" spans="1:73" x14ac:dyDescent="0.55000000000000004">
      <c r="A206">
        <v>205</v>
      </c>
      <c r="B206" t="s">
        <v>71</v>
      </c>
      <c r="C206" t="s">
        <v>72</v>
      </c>
      <c r="D206" t="s">
        <v>73</v>
      </c>
      <c r="E206" t="s">
        <v>145</v>
      </c>
      <c r="F206">
        <v>110062</v>
      </c>
      <c r="G206" t="s">
        <v>328</v>
      </c>
      <c r="H206" t="s">
        <v>76</v>
      </c>
      <c r="I206" t="s">
        <v>80</v>
      </c>
      <c r="J206">
        <v>44.96</v>
      </c>
      <c r="K206">
        <v>44</v>
      </c>
      <c r="L206">
        <v>47</v>
      </c>
      <c r="M206">
        <v>81</v>
      </c>
      <c r="N206">
        <v>57</v>
      </c>
      <c r="O206">
        <v>54</v>
      </c>
      <c r="P206">
        <v>87</v>
      </c>
      <c r="Q206">
        <v>53</v>
      </c>
      <c r="R206">
        <v>72</v>
      </c>
      <c r="S206">
        <v>140</v>
      </c>
      <c r="T206">
        <v>94</v>
      </c>
      <c r="U206">
        <v>151</v>
      </c>
      <c r="V206">
        <v>151</v>
      </c>
      <c r="W206">
        <v>54</v>
      </c>
      <c r="X206">
        <v>135</v>
      </c>
      <c r="Y206">
        <v>125</v>
      </c>
      <c r="Z206">
        <v>72</v>
      </c>
      <c r="AA206">
        <v>80</v>
      </c>
      <c r="AB206">
        <v>65</v>
      </c>
      <c r="AC206">
        <v>30</v>
      </c>
      <c r="AD206">
        <v>63</v>
      </c>
      <c r="AE206">
        <v>96</v>
      </c>
      <c r="AF206">
        <v>46</v>
      </c>
      <c r="AG206">
        <v>86</v>
      </c>
      <c r="AH206">
        <v>12</v>
      </c>
      <c r="AI206">
        <v>130</v>
      </c>
      <c r="AJ206">
        <v>42</v>
      </c>
      <c r="AK206">
        <v>29</v>
      </c>
      <c r="AL206">
        <v>22</v>
      </c>
      <c r="AM206">
        <v>74</v>
      </c>
      <c r="AN206">
        <v>67</v>
      </c>
      <c r="AO206">
        <v>35</v>
      </c>
      <c r="AP206">
        <v>36</v>
      </c>
      <c r="AQ206">
        <v>38</v>
      </c>
      <c r="AR206">
        <v>21</v>
      </c>
      <c r="AS206">
        <v>27</v>
      </c>
      <c r="AT206">
        <v>66</v>
      </c>
      <c r="AU206">
        <v>27</v>
      </c>
      <c r="AV206">
        <v>119</v>
      </c>
      <c r="AW206">
        <v>33</v>
      </c>
      <c r="AX206">
        <v>36</v>
      </c>
      <c r="AY206">
        <v>82</v>
      </c>
      <c r="AZ206">
        <v>33</v>
      </c>
      <c r="BA206">
        <v>85</v>
      </c>
      <c r="BB206">
        <v>85</v>
      </c>
      <c r="BC206">
        <v>99</v>
      </c>
      <c r="BD206">
        <v>75</v>
      </c>
      <c r="BE206">
        <v>90</v>
      </c>
      <c r="BF206">
        <v>96</v>
      </c>
      <c r="BG206">
        <v>78</v>
      </c>
      <c r="BH206">
        <v>94</v>
      </c>
      <c r="BI206">
        <v>47</v>
      </c>
      <c r="BJ206">
        <v>65</v>
      </c>
      <c r="BK206">
        <v>41</v>
      </c>
      <c r="BL206">
        <v>15</v>
      </c>
      <c r="BM206">
        <v>64</v>
      </c>
      <c r="BN206">
        <v>89</v>
      </c>
      <c r="BO206">
        <v>44</v>
      </c>
      <c r="BP206">
        <v>46</v>
      </c>
      <c r="BQ206">
        <v>34</v>
      </c>
      <c r="BR206">
        <v>20</v>
      </c>
      <c r="BS206">
        <v>60</v>
      </c>
      <c r="BU206" s="1">
        <f>AVERAGE(Table9[[#This Row],[1-Jan-21]:[1-Dec-25]])</f>
        <v>66.316666666666663</v>
      </c>
    </row>
    <row r="207" spans="1:73" x14ac:dyDescent="0.55000000000000004">
      <c r="A207">
        <v>206</v>
      </c>
      <c r="B207" t="s">
        <v>71</v>
      </c>
      <c r="C207" t="s">
        <v>72</v>
      </c>
      <c r="D207" t="s">
        <v>73</v>
      </c>
      <c r="E207" t="s">
        <v>145</v>
      </c>
      <c r="F207">
        <v>110061</v>
      </c>
      <c r="G207" t="s">
        <v>329</v>
      </c>
      <c r="H207" t="s">
        <v>76</v>
      </c>
      <c r="I207" t="s">
        <v>80</v>
      </c>
      <c r="J207">
        <v>47.3</v>
      </c>
      <c r="K207">
        <v>75</v>
      </c>
      <c r="L207">
        <v>23</v>
      </c>
      <c r="M207">
        <v>35</v>
      </c>
      <c r="N207">
        <v>30</v>
      </c>
      <c r="O207">
        <v>42</v>
      </c>
      <c r="P207">
        <v>77</v>
      </c>
      <c r="Q207">
        <v>20</v>
      </c>
      <c r="R207">
        <v>90</v>
      </c>
      <c r="S207">
        <v>56</v>
      </c>
      <c r="T207">
        <v>69</v>
      </c>
      <c r="U207">
        <v>39</v>
      </c>
      <c r="V207">
        <v>91</v>
      </c>
      <c r="W207">
        <v>70</v>
      </c>
      <c r="X207">
        <v>17</v>
      </c>
      <c r="Y207">
        <v>11</v>
      </c>
      <c r="Z207">
        <v>13</v>
      </c>
      <c r="AA207">
        <v>42</v>
      </c>
      <c r="AB207">
        <v>45</v>
      </c>
      <c r="AC207">
        <v>0</v>
      </c>
      <c r="AD207">
        <v>24</v>
      </c>
      <c r="AE207">
        <v>0</v>
      </c>
      <c r="AF207">
        <v>13</v>
      </c>
      <c r="AG207">
        <v>14</v>
      </c>
      <c r="AH207">
        <v>39</v>
      </c>
      <c r="AI207">
        <v>34</v>
      </c>
      <c r="AJ207">
        <v>24</v>
      </c>
      <c r="AK207">
        <v>24</v>
      </c>
      <c r="AL207">
        <v>26</v>
      </c>
      <c r="AM207">
        <v>4</v>
      </c>
      <c r="AN207">
        <v>16</v>
      </c>
      <c r="AO207">
        <v>5</v>
      </c>
      <c r="AP207">
        <v>26</v>
      </c>
      <c r="AQ207">
        <v>13</v>
      </c>
      <c r="AR207">
        <v>5</v>
      </c>
      <c r="AS207">
        <v>28</v>
      </c>
      <c r="AT207">
        <v>28</v>
      </c>
      <c r="AU207">
        <v>16</v>
      </c>
      <c r="AV207">
        <v>20</v>
      </c>
      <c r="AW207">
        <v>20</v>
      </c>
      <c r="AX207">
        <v>16</v>
      </c>
      <c r="AY207">
        <v>10</v>
      </c>
      <c r="AZ207">
        <v>20</v>
      </c>
      <c r="BA207">
        <v>27</v>
      </c>
      <c r="BB207">
        <v>17</v>
      </c>
      <c r="BC207">
        <v>17</v>
      </c>
      <c r="BD207">
        <v>15</v>
      </c>
      <c r="BE207">
        <v>36</v>
      </c>
      <c r="BF207">
        <v>35</v>
      </c>
      <c r="BG207">
        <v>38</v>
      </c>
      <c r="BH207">
        <v>73</v>
      </c>
      <c r="BI207">
        <v>38</v>
      </c>
      <c r="BJ207">
        <v>48</v>
      </c>
      <c r="BK207">
        <v>25</v>
      </c>
      <c r="BL207">
        <v>20</v>
      </c>
      <c r="BM207">
        <v>37</v>
      </c>
      <c r="BN207">
        <v>42</v>
      </c>
      <c r="BO207">
        <v>3</v>
      </c>
      <c r="BP207">
        <v>2</v>
      </c>
      <c r="BQ207">
        <v>17</v>
      </c>
      <c r="BR207">
        <v>5</v>
      </c>
      <c r="BS207">
        <v>58</v>
      </c>
      <c r="BU207" s="1">
        <f>AVERAGE(Table9[[#This Row],[1-Jan-21]:[1-Dec-25]])</f>
        <v>29.416666666666668</v>
      </c>
    </row>
    <row r="208" spans="1:73" x14ac:dyDescent="0.55000000000000004">
      <c r="A208">
        <v>207</v>
      </c>
      <c r="B208" t="s">
        <v>71</v>
      </c>
      <c r="C208" t="s">
        <v>72</v>
      </c>
      <c r="D208" t="s">
        <v>73</v>
      </c>
      <c r="E208" t="s">
        <v>145</v>
      </c>
      <c r="F208">
        <v>110049</v>
      </c>
      <c r="G208" t="s">
        <v>330</v>
      </c>
      <c r="H208" t="s">
        <v>76</v>
      </c>
      <c r="I208" t="s">
        <v>80</v>
      </c>
      <c r="J208">
        <v>19.54</v>
      </c>
      <c r="K208">
        <v>55</v>
      </c>
      <c r="L208">
        <v>28</v>
      </c>
      <c r="M208">
        <v>23</v>
      </c>
      <c r="N208">
        <v>10</v>
      </c>
      <c r="O208">
        <v>15</v>
      </c>
      <c r="P208">
        <v>25</v>
      </c>
      <c r="Q208">
        <v>25</v>
      </c>
      <c r="R208">
        <v>55</v>
      </c>
      <c r="S208">
        <v>49</v>
      </c>
      <c r="T208">
        <v>52</v>
      </c>
      <c r="U208">
        <v>73</v>
      </c>
      <c r="V208">
        <v>42</v>
      </c>
      <c r="W208">
        <v>15</v>
      </c>
      <c r="X208">
        <v>16</v>
      </c>
      <c r="Y208">
        <v>38</v>
      </c>
      <c r="Z208">
        <v>21</v>
      </c>
      <c r="AA208">
        <v>27</v>
      </c>
      <c r="AB208">
        <v>24</v>
      </c>
      <c r="AC208">
        <v>0</v>
      </c>
      <c r="AD208">
        <v>0</v>
      </c>
      <c r="AE208">
        <v>10</v>
      </c>
      <c r="AF208">
        <v>30</v>
      </c>
      <c r="AG208">
        <v>37</v>
      </c>
      <c r="AH208">
        <v>2</v>
      </c>
      <c r="AI208">
        <v>4</v>
      </c>
      <c r="AJ208">
        <v>36</v>
      </c>
      <c r="AK208">
        <v>6</v>
      </c>
      <c r="AL208">
        <v>15</v>
      </c>
      <c r="AM208">
        <v>27</v>
      </c>
      <c r="AN208">
        <v>25</v>
      </c>
      <c r="AO208">
        <v>51</v>
      </c>
      <c r="AP208">
        <v>0</v>
      </c>
      <c r="AQ208">
        <v>0</v>
      </c>
      <c r="AR208">
        <v>39</v>
      </c>
      <c r="AS208">
        <v>21</v>
      </c>
      <c r="AT208">
        <v>21</v>
      </c>
      <c r="AU208">
        <v>12</v>
      </c>
      <c r="AV208">
        <v>10</v>
      </c>
      <c r="AW208">
        <v>5</v>
      </c>
      <c r="AX208">
        <v>16</v>
      </c>
      <c r="AY208">
        <v>2</v>
      </c>
      <c r="AZ208">
        <v>0</v>
      </c>
      <c r="BA208">
        <v>6</v>
      </c>
      <c r="BB208">
        <v>15</v>
      </c>
      <c r="BC208">
        <v>16</v>
      </c>
      <c r="BD208">
        <v>12</v>
      </c>
      <c r="BE208">
        <v>24</v>
      </c>
      <c r="BF208">
        <v>32</v>
      </c>
      <c r="BG208">
        <v>0</v>
      </c>
      <c r="BH208">
        <v>34</v>
      </c>
      <c r="BI208">
        <v>3</v>
      </c>
      <c r="BJ208">
        <v>2</v>
      </c>
      <c r="BK208">
        <v>16</v>
      </c>
      <c r="BL208">
        <v>32</v>
      </c>
      <c r="BM208">
        <v>51</v>
      </c>
      <c r="BN208">
        <v>27</v>
      </c>
      <c r="BO208">
        <v>3</v>
      </c>
      <c r="BP208">
        <v>7</v>
      </c>
      <c r="BQ208">
        <v>0</v>
      </c>
      <c r="BR208">
        <v>2</v>
      </c>
      <c r="BS208">
        <v>53</v>
      </c>
      <c r="BU208" s="1">
        <f>AVERAGE(Table9[[#This Row],[1-Jan-21]:[1-Dec-25]])</f>
        <v>20.733333333333334</v>
      </c>
    </row>
    <row r="209" spans="1:73" x14ac:dyDescent="0.55000000000000004">
      <c r="A209">
        <v>208</v>
      </c>
      <c r="B209" t="s">
        <v>71</v>
      </c>
      <c r="C209" t="s">
        <v>72</v>
      </c>
      <c r="D209" t="s">
        <v>73</v>
      </c>
      <c r="E209" t="s">
        <v>81</v>
      </c>
      <c r="F209">
        <v>111253</v>
      </c>
      <c r="G209" t="s">
        <v>331</v>
      </c>
      <c r="H209" t="s">
        <v>76</v>
      </c>
      <c r="I209" t="s">
        <v>80</v>
      </c>
      <c r="J209">
        <v>78.42</v>
      </c>
      <c r="K209">
        <v>6</v>
      </c>
      <c r="L209">
        <v>26</v>
      </c>
      <c r="M209">
        <v>29</v>
      </c>
      <c r="N209">
        <v>14</v>
      </c>
      <c r="O209">
        <v>13</v>
      </c>
      <c r="P209">
        <v>28</v>
      </c>
      <c r="Q209">
        <v>19</v>
      </c>
      <c r="R209">
        <v>0</v>
      </c>
      <c r="S209">
        <v>14</v>
      </c>
      <c r="T209">
        <v>28</v>
      </c>
      <c r="U209">
        <v>6</v>
      </c>
      <c r="V209">
        <v>8</v>
      </c>
      <c r="W209">
        <v>21</v>
      </c>
      <c r="X209">
        <v>0</v>
      </c>
      <c r="Y209">
        <v>22</v>
      </c>
      <c r="Z209">
        <v>5</v>
      </c>
      <c r="AA209">
        <v>10</v>
      </c>
      <c r="AB209">
        <v>4</v>
      </c>
      <c r="AC209">
        <v>8</v>
      </c>
      <c r="AD209">
        <v>14</v>
      </c>
      <c r="AE209">
        <v>10</v>
      </c>
      <c r="AF209">
        <v>0</v>
      </c>
      <c r="AG209">
        <v>5</v>
      </c>
      <c r="AH209">
        <v>1</v>
      </c>
      <c r="AI209">
        <v>10</v>
      </c>
      <c r="AJ209">
        <v>10</v>
      </c>
      <c r="AK209">
        <v>0</v>
      </c>
      <c r="AL209">
        <v>0</v>
      </c>
      <c r="AM209">
        <v>0</v>
      </c>
      <c r="AN209">
        <v>0</v>
      </c>
      <c r="AO209">
        <v>2</v>
      </c>
      <c r="AP209">
        <v>10</v>
      </c>
      <c r="AQ209">
        <v>0</v>
      </c>
      <c r="AR209">
        <v>4</v>
      </c>
      <c r="AS209">
        <v>5</v>
      </c>
      <c r="AT209">
        <v>6</v>
      </c>
      <c r="AU209">
        <v>0</v>
      </c>
      <c r="AV209">
        <v>10</v>
      </c>
      <c r="AW209">
        <v>3</v>
      </c>
      <c r="AX209">
        <v>4</v>
      </c>
      <c r="AY209">
        <v>6</v>
      </c>
      <c r="AZ209">
        <v>0</v>
      </c>
      <c r="BA209">
        <v>17</v>
      </c>
      <c r="BB209">
        <v>4</v>
      </c>
      <c r="BC209">
        <v>0</v>
      </c>
      <c r="BD209">
        <v>8</v>
      </c>
      <c r="BE209">
        <v>0</v>
      </c>
      <c r="BF209">
        <v>0</v>
      </c>
      <c r="BG209">
        <v>4</v>
      </c>
      <c r="BH209">
        <v>0</v>
      </c>
      <c r="BI209">
        <v>16</v>
      </c>
      <c r="BJ209">
        <v>0</v>
      </c>
      <c r="BK209">
        <v>11</v>
      </c>
      <c r="BL209">
        <v>5</v>
      </c>
      <c r="BM209">
        <v>2</v>
      </c>
      <c r="BN209">
        <v>0</v>
      </c>
      <c r="BO209">
        <v>0</v>
      </c>
      <c r="BP209">
        <v>3</v>
      </c>
      <c r="BQ209">
        <v>6</v>
      </c>
      <c r="BR209">
        <v>0</v>
      </c>
      <c r="BS209">
        <v>42</v>
      </c>
      <c r="BU209" s="1">
        <f>AVERAGE(Table9[[#This Row],[1-Jan-21]:[1-Dec-25]])</f>
        <v>7.2833333333333332</v>
      </c>
    </row>
    <row r="210" spans="1:73" x14ac:dyDescent="0.55000000000000004">
      <c r="A210">
        <v>209</v>
      </c>
      <c r="B210" t="s">
        <v>71</v>
      </c>
      <c r="C210" t="s">
        <v>72</v>
      </c>
      <c r="D210" t="s">
        <v>73</v>
      </c>
      <c r="E210" t="s">
        <v>147</v>
      </c>
      <c r="F210">
        <v>149386</v>
      </c>
      <c r="G210" t="s">
        <v>332</v>
      </c>
      <c r="H210" t="s">
        <v>76</v>
      </c>
      <c r="I210" t="s">
        <v>77</v>
      </c>
      <c r="J210">
        <v>119.18</v>
      </c>
      <c r="K210">
        <v>45</v>
      </c>
      <c r="L210">
        <v>2</v>
      </c>
      <c r="M210">
        <v>6</v>
      </c>
      <c r="N210">
        <v>8</v>
      </c>
      <c r="O210">
        <v>58</v>
      </c>
      <c r="P210">
        <v>90.132000000000005</v>
      </c>
      <c r="Q210">
        <v>9</v>
      </c>
      <c r="R210">
        <v>28</v>
      </c>
      <c r="S210">
        <v>0</v>
      </c>
      <c r="T210">
        <v>92</v>
      </c>
      <c r="U210">
        <v>20</v>
      </c>
      <c r="V210">
        <v>100.69</v>
      </c>
      <c r="W210">
        <v>3.5</v>
      </c>
      <c r="X210">
        <v>54.4</v>
      </c>
      <c r="Y210">
        <v>26.38</v>
      </c>
      <c r="Z210">
        <v>54</v>
      </c>
      <c r="AA210">
        <v>0</v>
      </c>
      <c r="AB210">
        <v>54.6</v>
      </c>
      <c r="AC210">
        <v>10</v>
      </c>
      <c r="AD210">
        <v>0</v>
      </c>
      <c r="AE210">
        <v>0</v>
      </c>
      <c r="AF210">
        <v>40</v>
      </c>
      <c r="AG210">
        <v>8</v>
      </c>
      <c r="AH210">
        <v>13</v>
      </c>
      <c r="AI210">
        <v>19.5</v>
      </c>
      <c r="AJ210">
        <v>6</v>
      </c>
      <c r="AK210">
        <v>16.829999999999998</v>
      </c>
      <c r="AL210">
        <v>0</v>
      </c>
      <c r="AM210">
        <v>8</v>
      </c>
      <c r="AN210">
        <v>17.988</v>
      </c>
      <c r="AO210">
        <v>3</v>
      </c>
      <c r="AP210">
        <v>11.41</v>
      </c>
      <c r="AQ210">
        <v>17.38</v>
      </c>
      <c r="AR210">
        <v>13</v>
      </c>
      <c r="AS210">
        <v>0</v>
      </c>
      <c r="AT210">
        <v>22</v>
      </c>
      <c r="AU210">
        <v>1.5</v>
      </c>
      <c r="AV210">
        <v>0</v>
      </c>
      <c r="AW210">
        <v>19.5</v>
      </c>
      <c r="AX210">
        <v>7.5</v>
      </c>
      <c r="AY210">
        <v>4</v>
      </c>
      <c r="AZ210">
        <v>0</v>
      </c>
      <c r="BA210">
        <v>0</v>
      </c>
      <c r="BB210">
        <v>28</v>
      </c>
      <c r="BC210">
        <v>14.26</v>
      </c>
      <c r="BD210">
        <v>4</v>
      </c>
      <c r="BE210">
        <v>28.8</v>
      </c>
      <c r="BF210">
        <v>0</v>
      </c>
      <c r="BG210">
        <v>19</v>
      </c>
      <c r="BH210">
        <v>41.445</v>
      </c>
      <c r="BI210">
        <v>0</v>
      </c>
      <c r="BJ210">
        <v>27</v>
      </c>
      <c r="BK210">
        <v>32.445</v>
      </c>
      <c r="BL210">
        <v>0</v>
      </c>
      <c r="BM210">
        <v>58.2</v>
      </c>
      <c r="BN210">
        <v>25.5</v>
      </c>
      <c r="BO210">
        <v>27.5</v>
      </c>
      <c r="BP210">
        <v>4</v>
      </c>
      <c r="BQ210">
        <v>15</v>
      </c>
      <c r="BR210">
        <v>51.06</v>
      </c>
      <c r="BS210">
        <v>48</v>
      </c>
      <c r="BU210" s="1">
        <f>AVERAGE(Table9[[#This Row],[1-Jan-21]:[1-Dec-25]])</f>
        <v>21.108666666666661</v>
      </c>
    </row>
    <row r="211" spans="1:73" x14ac:dyDescent="0.55000000000000004">
      <c r="A211">
        <v>210</v>
      </c>
      <c r="B211" t="s">
        <v>71</v>
      </c>
      <c r="C211" t="s">
        <v>72</v>
      </c>
      <c r="D211" t="s">
        <v>73</v>
      </c>
      <c r="E211" t="s">
        <v>163</v>
      </c>
      <c r="F211">
        <v>109200</v>
      </c>
      <c r="G211" t="s">
        <v>333</v>
      </c>
      <c r="H211" t="s">
        <v>76</v>
      </c>
      <c r="I211" t="s">
        <v>80</v>
      </c>
      <c r="J211">
        <v>5.78</v>
      </c>
      <c r="K211">
        <v>21</v>
      </c>
      <c r="L211">
        <v>0</v>
      </c>
      <c r="M211">
        <v>4</v>
      </c>
      <c r="N211">
        <v>10</v>
      </c>
      <c r="O211">
        <v>0</v>
      </c>
      <c r="P211">
        <v>25</v>
      </c>
      <c r="Q211">
        <v>0</v>
      </c>
      <c r="R211">
        <v>51</v>
      </c>
      <c r="S211">
        <v>10</v>
      </c>
      <c r="T211">
        <v>0</v>
      </c>
      <c r="U211">
        <v>65</v>
      </c>
      <c r="V211">
        <v>58</v>
      </c>
      <c r="W211">
        <v>65</v>
      </c>
      <c r="X211">
        <v>0</v>
      </c>
      <c r="Y211">
        <v>20</v>
      </c>
      <c r="Z211">
        <v>50</v>
      </c>
      <c r="AA211">
        <v>0</v>
      </c>
      <c r="AB211">
        <v>45</v>
      </c>
      <c r="AC211">
        <v>0</v>
      </c>
      <c r="AD211">
        <v>0</v>
      </c>
      <c r="AE211">
        <v>20</v>
      </c>
      <c r="AF211">
        <v>0</v>
      </c>
      <c r="AG211">
        <v>0</v>
      </c>
      <c r="AH211">
        <v>0</v>
      </c>
      <c r="AI211">
        <v>75</v>
      </c>
      <c r="AJ211">
        <v>20</v>
      </c>
      <c r="AK211">
        <v>30</v>
      </c>
      <c r="AL211">
        <v>0</v>
      </c>
      <c r="AM211">
        <v>64</v>
      </c>
      <c r="AN211">
        <v>60</v>
      </c>
      <c r="AO211">
        <v>35</v>
      </c>
      <c r="AP211">
        <v>19</v>
      </c>
      <c r="AQ211">
        <v>0</v>
      </c>
      <c r="AR211">
        <v>30</v>
      </c>
      <c r="AS211">
        <v>20</v>
      </c>
      <c r="AT211">
        <v>80</v>
      </c>
      <c r="AU211">
        <v>35</v>
      </c>
      <c r="AV211">
        <v>0</v>
      </c>
      <c r="AW211">
        <v>68</v>
      </c>
      <c r="AX211">
        <v>10</v>
      </c>
      <c r="AY211">
        <v>32</v>
      </c>
      <c r="AZ211">
        <v>0</v>
      </c>
      <c r="BA211">
        <v>10</v>
      </c>
      <c r="BB211">
        <v>10</v>
      </c>
      <c r="BC211">
        <v>24</v>
      </c>
      <c r="BD211">
        <v>35</v>
      </c>
      <c r="BE211">
        <v>54</v>
      </c>
      <c r="BF211">
        <v>95</v>
      </c>
      <c r="BG211">
        <v>12</v>
      </c>
      <c r="BH211">
        <v>0</v>
      </c>
      <c r="BI211">
        <v>18</v>
      </c>
      <c r="BJ211">
        <v>42</v>
      </c>
      <c r="BK211">
        <v>8</v>
      </c>
      <c r="BL211">
        <v>50</v>
      </c>
      <c r="BM211">
        <v>20</v>
      </c>
      <c r="BN211">
        <v>25</v>
      </c>
      <c r="BO211">
        <v>30</v>
      </c>
      <c r="BP211">
        <v>20</v>
      </c>
      <c r="BQ211">
        <v>0</v>
      </c>
      <c r="BR211">
        <v>50</v>
      </c>
      <c r="BS211">
        <v>43</v>
      </c>
      <c r="BU211" s="1">
        <f>AVERAGE(Table9[[#This Row],[1-Jan-21]:[1-Dec-25]])</f>
        <v>25.416666666666668</v>
      </c>
    </row>
    <row r="212" spans="1:73" x14ac:dyDescent="0.55000000000000004">
      <c r="A212">
        <v>211</v>
      </c>
      <c r="B212" t="s">
        <v>71</v>
      </c>
      <c r="C212" t="s">
        <v>72</v>
      </c>
      <c r="D212" t="s">
        <v>73</v>
      </c>
      <c r="E212" t="s">
        <v>287</v>
      </c>
      <c r="F212">
        <v>110944</v>
      </c>
      <c r="G212" t="s">
        <v>334</v>
      </c>
      <c r="H212" t="s">
        <v>76</v>
      </c>
      <c r="I212" t="s">
        <v>80</v>
      </c>
      <c r="J212">
        <v>1099.99</v>
      </c>
      <c r="K212">
        <v>44</v>
      </c>
      <c r="L212">
        <v>56</v>
      </c>
      <c r="M212">
        <v>35</v>
      </c>
      <c r="N212">
        <v>48</v>
      </c>
      <c r="O212">
        <v>80</v>
      </c>
      <c r="P212">
        <v>69</v>
      </c>
      <c r="Q212">
        <v>58</v>
      </c>
      <c r="R212">
        <v>64</v>
      </c>
      <c r="S212">
        <v>63</v>
      </c>
      <c r="T212">
        <v>105</v>
      </c>
      <c r="U212">
        <v>60</v>
      </c>
      <c r="V212">
        <v>52</v>
      </c>
      <c r="W212">
        <v>81</v>
      </c>
      <c r="X212">
        <v>61</v>
      </c>
      <c r="Y212">
        <v>58</v>
      </c>
      <c r="Z212">
        <v>60</v>
      </c>
      <c r="AA212">
        <v>66</v>
      </c>
      <c r="AB212">
        <v>81</v>
      </c>
      <c r="AC212">
        <v>27</v>
      </c>
      <c r="AD212">
        <v>63</v>
      </c>
      <c r="AE212">
        <v>59</v>
      </c>
      <c r="AF212">
        <v>47</v>
      </c>
      <c r="AG212">
        <v>46</v>
      </c>
      <c r="AH212">
        <v>53</v>
      </c>
      <c r="AI212">
        <v>63</v>
      </c>
      <c r="AJ212">
        <v>61</v>
      </c>
      <c r="AK212">
        <v>61</v>
      </c>
      <c r="AL212">
        <v>39</v>
      </c>
      <c r="AM212">
        <v>49</v>
      </c>
      <c r="AN212">
        <v>47</v>
      </c>
      <c r="AO212">
        <v>48</v>
      </c>
      <c r="AP212">
        <v>51</v>
      </c>
      <c r="AQ212">
        <v>90</v>
      </c>
      <c r="AR212">
        <v>24</v>
      </c>
      <c r="AS212">
        <v>54</v>
      </c>
      <c r="AT212">
        <v>48</v>
      </c>
      <c r="AU212">
        <v>51</v>
      </c>
      <c r="AV212">
        <v>48</v>
      </c>
      <c r="AW212">
        <v>59</v>
      </c>
      <c r="AX212">
        <v>36</v>
      </c>
      <c r="AY212">
        <v>52</v>
      </c>
      <c r="AZ212">
        <v>36</v>
      </c>
      <c r="BA212">
        <v>30</v>
      </c>
      <c r="BB212">
        <v>43</v>
      </c>
      <c r="BC212">
        <v>44</v>
      </c>
      <c r="BD212">
        <v>49</v>
      </c>
      <c r="BE212">
        <v>59</v>
      </c>
      <c r="BF212">
        <v>72</v>
      </c>
      <c r="BG212">
        <v>44</v>
      </c>
      <c r="BH212">
        <v>55</v>
      </c>
      <c r="BI212">
        <v>38</v>
      </c>
      <c r="BJ212">
        <v>47</v>
      </c>
      <c r="BK212">
        <v>48</v>
      </c>
      <c r="BL212">
        <v>21</v>
      </c>
      <c r="BM212">
        <v>49</v>
      </c>
      <c r="BN212">
        <v>23</v>
      </c>
      <c r="BO212">
        <v>40</v>
      </c>
      <c r="BP212">
        <v>46</v>
      </c>
      <c r="BQ212">
        <v>68</v>
      </c>
      <c r="BR212">
        <v>29</v>
      </c>
      <c r="BS212">
        <v>60</v>
      </c>
      <c r="BU212" s="1">
        <f>AVERAGE(Table9[[#This Row],[1-Jan-21]:[1-Dec-25]])</f>
        <v>52.633333333333333</v>
      </c>
    </row>
    <row r="213" spans="1:73" x14ac:dyDescent="0.55000000000000004">
      <c r="A213">
        <v>212</v>
      </c>
      <c r="B213" t="s">
        <v>71</v>
      </c>
      <c r="C213" t="s">
        <v>72</v>
      </c>
      <c r="D213" t="s">
        <v>73</v>
      </c>
      <c r="E213" t="s">
        <v>81</v>
      </c>
      <c r="F213">
        <v>111274</v>
      </c>
      <c r="G213" t="s">
        <v>335</v>
      </c>
      <c r="H213" t="s">
        <v>76</v>
      </c>
      <c r="I213" t="s">
        <v>80</v>
      </c>
      <c r="J213">
        <v>60.74</v>
      </c>
      <c r="K213">
        <v>9</v>
      </c>
      <c r="L213">
        <v>20</v>
      </c>
      <c r="M213">
        <v>12</v>
      </c>
      <c r="N213">
        <v>4</v>
      </c>
      <c r="O213">
        <v>14</v>
      </c>
      <c r="P213">
        <v>17</v>
      </c>
      <c r="Q213">
        <v>11</v>
      </c>
      <c r="R213">
        <v>15</v>
      </c>
      <c r="S213">
        <v>34</v>
      </c>
      <c r="T213">
        <v>32</v>
      </c>
      <c r="U213">
        <v>0</v>
      </c>
      <c r="V213">
        <v>6</v>
      </c>
      <c r="W213">
        <v>13</v>
      </c>
      <c r="X213">
        <v>37</v>
      </c>
      <c r="Y213">
        <v>5</v>
      </c>
      <c r="Z213">
        <v>9</v>
      </c>
      <c r="AA213">
        <v>22</v>
      </c>
      <c r="AB213">
        <v>3</v>
      </c>
      <c r="AC213">
        <v>0</v>
      </c>
      <c r="AD213">
        <v>0</v>
      </c>
      <c r="AE213">
        <v>4</v>
      </c>
      <c r="AF213">
        <v>5</v>
      </c>
      <c r="AG213">
        <v>0</v>
      </c>
      <c r="AH213">
        <v>6</v>
      </c>
      <c r="AI213">
        <v>15</v>
      </c>
      <c r="AJ213">
        <v>10</v>
      </c>
      <c r="AK213">
        <v>6</v>
      </c>
      <c r="AL213">
        <v>1</v>
      </c>
      <c r="AM213">
        <v>3</v>
      </c>
      <c r="AN213">
        <v>7</v>
      </c>
      <c r="AO213">
        <v>8</v>
      </c>
      <c r="AP213">
        <v>8</v>
      </c>
      <c r="AQ213">
        <v>0</v>
      </c>
      <c r="AR213">
        <v>4</v>
      </c>
      <c r="AS213">
        <v>4</v>
      </c>
      <c r="AT213">
        <v>6</v>
      </c>
      <c r="AU213">
        <v>9</v>
      </c>
      <c r="AV213">
        <v>0</v>
      </c>
      <c r="AW213">
        <v>2</v>
      </c>
      <c r="AX213">
        <v>2</v>
      </c>
      <c r="AY213">
        <v>15</v>
      </c>
      <c r="AZ213">
        <v>1</v>
      </c>
      <c r="BA213">
        <v>6</v>
      </c>
      <c r="BB213">
        <v>15</v>
      </c>
      <c r="BC213">
        <v>22</v>
      </c>
      <c r="BD213">
        <v>0</v>
      </c>
      <c r="BE213">
        <v>17</v>
      </c>
      <c r="BF213">
        <v>6</v>
      </c>
      <c r="BG213">
        <v>2</v>
      </c>
      <c r="BH213">
        <v>24</v>
      </c>
      <c r="BI213">
        <v>9</v>
      </c>
      <c r="BJ213">
        <v>0</v>
      </c>
      <c r="BK213">
        <v>30</v>
      </c>
      <c r="BL213">
        <v>9</v>
      </c>
      <c r="BM213">
        <v>4</v>
      </c>
      <c r="BN213">
        <v>9</v>
      </c>
      <c r="BO213">
        <v>0</v>
      </c>
      <c r="BP213">
        <v>4</v>
      </c>
      <c r="BQ213">
        <v>4</v>
      </c>
      <c r="BR213">
        <v>2</v>
      </c>
      <c r="BS213">
        <v>51</v>
      </c>
      <c r="BU213" s="1">
        <f>AVERAGE(Table9[[#This Row],[1-Jan-21]:[1-Dec-25]])</f>
        <v>9.0333333333333332</v>
      </c>
    </row>
    <row r="214" spans="1:73" x14ac:dyDescent="0.55000000000000004">
      <c r="A214">
        <v>213</v>
      </c>
      <c r="B214" t="s">
        <v>71</v>
      </c>
      <c r="C214" t="s">
        <v>72</v>
      </c>
      <c r="D214" t="s">
        <v>73</v>
      </c>
      <c r="E214" t="s">
        <v>336</v>
      </c>
      <c r="F214">
        <v>125132</v>
      </c>
      <c r="G214" t="s">
        <v>337</v>
      </c>
      <c r="H214" t="s">
        <v>76</v>
      </c>
      <c r="I214" t="s">
        <v>77</v>
      </c>
      <c r="J214">
        <v>167.55</v>
      </c>
      <c r="K214">
        <v>548.70000000000005</v>
      </c>
      <c r="L214">
        <v>385</v>
      </c>
      <c r="M214">
        <v>818.6</v>
      </c>
      <c r="N214">
        <v>115</v>
      </c>
      <c r="O214">
        <v>10</v>
      </c>
      <c r="P214">
        <v>2</v>
      </c>
      <c r="Q214">
        <v>53.9</v>
      </c>
      <c r="R214">
        <v>0</v>
      </c>
      <c r="S214">
        <v>344</v>
      </c>
      <c r="T214">
        <v>111.32</v>
      </c>
      <c r="U214">
        <v>135</v>
      </c>
      <c r="V214">
        <v>0</v>
      </c>
      <c r="W214">
        <v>305</v>
      </c>
      <c r="X214">
        <v>257</v>
      </c>
      <c r="Y214">
        <v>60</v>
      </c>
      <c r="Z214">
        <v>0</v>
      </c>
      <c r="AA214">
        <v>0</v>
      </c>
      <c r="AB214">
        <v>32.1096</v>
      </c>
      <c r="AC214">
        <v>0</v>
      </c>
      <c r="AD214">
        <v>60</v>
      </c>
      <c r="AE214">
        <v>2</v>
      </c>
      <c r="AF214">
        <v>576.37040000000002</v>
      </c>
      <c r="AG214">
        <v>425.04</v>
      </c>
      <c r="AH214">
        <v>0</v>
      </c>
      <c r="AI214">
        <v>423.72</v>
      </c>
      <c r="AJ214">
        <v>48</v>
      </c>
      <c r="AK214">
        <v>273.42</v>
      </c>
      <c r="AL214">
        <v>426.58</v>
      </c>
      <c r="AM214">
        <v>200</v>
      </c>
      <c r="AN214">
        <v>13</v>
      </c>
      <c r="AO214">
        <v>0</v>
      </c>
      <c r="AP214">
        <v>40.86</v>
      </c>
      <c r="AQ214">
        <v>0</v>
      </c>
      <c r="AR214">
        <v>12</v>
      </c>
      <c r="AS214">
        <v>110</v>
      </c>
      <c r="AT214">
        <v>0</v>
      </c>
      <c r="AU214">
        <v>0</v>
      </c>
      <c r="AV214">
        <v>110</v>
      </c>
      <c r="AW214">
        <v>68</v>
      </c>
      <c r="AX214">
        <v>5.72</v>
      </c>
      <c r="AY214">
        <v>4.5</v>
      </c>
      <c r="AZ214">
        <v>14</v>
      </c>
      <c r="BA214">
        <v>0</v>
      </c>
      <c r="BB214">
        <v>127.58</v>
      </c>
      <c r="BC214">
        <v>0</v>
      </c>
      <c r="BD214">
        <v>12</v>
      </c>
      <c r="BE214">
        <v>370</v>
      </c>
      <c r="BF214">
        <v>15</v>
      </c>
      <c r="BG214">
        <v>43</v>
      </c>
      <c r="BH214">
        <v>147.47999999999999</v>
      </c>
      <c r="BI214">
        <v>90.3</v>
      </c>
      <c r="BJ214">
        <v>0</v>
      </c>
      <c r="BK214">
        <v>22</v>
      </c>
      <c r="BL214">
        <v>18</v>
      </c>
      <c r="BM214">
        <v>68</v>
      </c>
      <c r="BN214">
        <v>88</v>
      </c>
      <c r="BO214">
        <v>0</v>
      </c>
      <c r="BP214">
        <v>12</v>
      </c>
      <c r="BQ214">
        <v>2</v>
      </c>
      <c r="BR214">
        <v>0</v>
      </c>
      <c r="BS214">
        <v>45</v>
      </c>
      <c r="BU214" s="1">
        <f>AVERAGE(Table9[[#This Row],[1-Jan-21]:[1-Dec-25]])</f>
        <v>116.77</v>
      </c>
    </row>
    <row r="215" spans="1:73" x14ac:dyDescent="0.55000000000000004">
      <c r="A215">
        <v>214</v>
      </c>
      <c r="B215" t="s">
        <v>71</v>
      </c>
      <c r="C215" t="s">
        <v>72</v>
      </c>
      <c r="D215" t="s">
        <v>73</v>
      </c>
      <c r="E215" t="s">
        <v>111</v>
      </c>
      <c r="F215">
        <v>135810</v>
      </c>
      <c r="G215" t="s">
        <v>338</v>
      </c>
      <c r="H215" t="s">
        <v>76</v>
      </c>
      <c r="I215" t="s">
        <v>105</v>
      </c>
      <c r="J215">
        <v>192.21</v>
      </c>
      <c r="K215">
        <v>318.5</v>
      </c>
      <c r="L215">
        <v>167.5</v>
      </c>
      <c r="M215">
        <v>99</v>
      </c>
      <c r="N215">
        <v>89</v>
      </c>
      <c r="O215">
        <v>160.91999999999999</v>
      </c>
      <c r="P215">
        <v>525.5</v>
      </c>
      <c r="Q215">
        <v>167.5</v>
      </c>
      <c r="R215">
        <v>237</v>
      </c>
      <c r="S215">
        <v>203</v>
      </c>
      <c r="T215">
        <v>193.5</v>
      </c>
      <c r="U215">
        <v>131.5</v>
      </c>
      <c r="V215">
        <v>141</v>
      </c>
      <c r="W215">
        <v>138.5</v>
      </c>
      <c r="X215">
        <v>153.583</v>
      </c>
      <c r="Y215">
        <v>134</v>
      </c>
      <c r="Z215">
        <v>193.5</v>
      </c>
      <c r="AA215">
        <v>128</v>
      </c>
      <c r="AB215">
        <v>352.5</v>
      </c>
      <c r="AC215">
        <v>142</v>
      </c>
      <c r="AD215">
        <v>120</v>
      </c>
      <c r="AE215">
        <v>153</v>
      </c>
      <c r="AF215">
        <v>224</v>
      </c>
      <c r="AG215">
        <v>150.49700000000001</v>
      </c>
      <c r="AH215">
        <v>87.5</v>
      </c>
      <c r="AI215">
        <v>131</v>
      </c>
      <c r="AJ215">
        <v>135.5</v>
      </c>
      <c r="AK215">
        <v>155</v>
      </c>
      <c r="AL215">
        <v>155.5</v>
      </c>
      <c r="AM215">
        <v>165</v>
      </c>
      <c r="AN215">
        <v>189.75</v>
      </c>
      <c r="AO215">
        <v>71</v>
      </c>
      <c r="AP215">
        <v>71</v>
      </c>
      <c r="AQ215">
        <v>15.4</v>
      </c>
      <c r="AR215">
        <v>117</v>
      </c>
      <c r="AS215">
        <v>44.5</v>
      </c>
      <c r="AT215">
        <v>15</v>
      </c>
      <c r="AU215">
        <v>43.5</v>
      </c>
      <c r="AV215">
        <v>28</v>
      </c>
      <c r="AW215">
        <v>62</v>
      </c>
      <c r="AX215">
        <v>7.5</v>
      </c>
      <c r="AY215">
        <v>189.85</v>
      </c>
      <c r="AZ215">
        <v>12.1</v>
      </c>
      <c r="BA215">
        <v>113</v>
      </c>
      <c r="BB215">
        <v>66</v>
      </c>
      <c r="BC215">
        <v>89</v>
      </c>
      <c r="BD215">
        <v>275.89999999999998</v>
      </c>
      <c r="BE215">
        <v>339</v>
      </c>
      <c r="BF215">
        <v>160</v>
      </c>
      <c r="BG215">
        <v>51</v>
      </c>
      <c r="BH215">
        <v>75.099999999999994</v>
      </c>
      <c r="BI215">
        <v>77.599999999999994</v>
      </c>
      <c r="BJ215">
        <v>99</v>
      </c>
      <c r="BK215">
        <v>67.5</v>
      </c>
      <c r="BL215">
        <v>123.8</v>
      </c>
      <c r="BM215">
        <v>133</v>
      </c>
      <c r="BN215">
        <v>18</v>
      </c>
      <c r="BO215">
        <v>73.599999999999994</v>
      </c>
      <c r="BP215">
        <v>210.4</v>
      </c>
      <c r="BQ215">
        <v>76.099999999999994</v>
      </c>
      <c r="BR215">
        <v>17</v>
      </c>
      <c r="BS215">
        <v>60</v>
      </c>
      <c r="BU215" s="1">
        <f>AVERAGE(Table9[[#This Row],[1-Jan-21]:[1-Dec-25]])</f>
        <v>134.74333333333337</v>
      </c>
    </row>
    <row r="216" spans="1:73" x14ac:dyDescent="0.55000000000000004">
      <c r="A216">
        <v>215</v>
      </c>
      <c r="B216" t="s">
        <v>71</v>
      </c>
      <c r="C216" t="s">
        <v>72</v>
      </c>
      <c r="D216" t="s">
        <v>73</v>
      </c>
      <c r="E216" t="s">
        <v>116</v>
      </c>
      <c r="F216">
        <v>110890</v>
      </c>
      <c r="G216" t="s">
        <v>339</v>
      </c>
      <c r="H216" t="s">
        <v>76</v>
      </c>
      <c r="I216" t="s">
        <v>80</v>
      </c>
      <c r="J216">
        <v>30.12</v>
      </c>
      <c r="K216">
        <v>7</v>
      </c>
      <c r="L216">
        <v>1</v>
      </c>
      <c r="M216">
        <v>2</v>
      </c>
      <c r="N216">
        <v>4</v>
      </c>
      <c r="O216">
        <v>5</v>
      </c>
      <c r="P216">
        <v>9</v>
      </c>
      <c r="Q216">
        <v>3</v>
      </c>
      <c r="R216">
        <v>3</v>
      </c>
      <c r="S216">
        <v>13</v>
      </c>
      <c r="T216">
        <v>0</v>
      </c>
      <c r="U216">
        <v>5</v>
      </c>
      <c r="V216">
        <v>2</v>
      </c>
      <c r="W216">
        <v>12</v>
      </c>
      <c r="X216">
        <v>21</v>
      </c>
      <c r="Y216">
        <v>0</v>
      </c>
      <c r="Z216">
        <v>9</v>
      </c>
      <c r="AA216">
        <v>0</v>
      </c>
      <c r="AB216">
        <v>0</v>
      </c>
      <c r="AC216">
        <v>5</v>
      </c>
      <c r="AD216">
        <v>2</v>
      </c>
      <c r="AE216">
        <v>0</v>
      </c>
      <c r="AF216">
        <v>8</v>
      </c>
      <c r="AG216">
        <v>0</v>
      </c>
      <c r="AH216">
        <v>8</v>
      </c>
      <c r="AI216">
        <v>0</v>
      </c>
      <c r="AJ216">
        <v>2</v>
      </c>
      <c r="AK216">
        <v>7</v>
      </c>
      <c r="AL216">
        <v>8</v>
      </c>
      <c r="AM216">
        <v>4</v>
      </c>
      <c r="AN216">
        <v>3</v>
      </c>
      <c r="AO216">
        <v>2</v>
      </c>
      <c r="AP216">
        <v>0</v>
      </c>
      <c r="AQ216">
        <v>2</v>
      </c>
      <c r="AR216">
        <v>2</v>
      </c>
      <c r="AS216">
        <v>2</v>
      </c>
      <c r="AT216">
        <v>0</v>
      </c>
      <c r="AU216">
        <v>0</v>
      </c>
      <c r="AV216">
        <v>7</v>
      </c>
      <c r="AW216">
        <v>0</v>
      </c>
      <c r="AX216">
        <v>0</v>
      </c>
      <c r="AY216">
        <v>0</v>
      </c>
      <c r="AZ216">
        <v>6</v>
      </c>
      <c r="BA216">
        <v>6</v>
      </c>
      <c r="BB216">
        <v>6</v>
      </c>
      <c r="BC216">
        <v>0</v>
      </c>
      <c r="BD216">
        <v>2</v>
      </c>
      <c r="BE216">
        <v>2</v>
      </c>
      <c r="BF216">
        <v>1</v>
      </c>
      <c r="BG216">
        <v>0</v>
      </c>
      <c r="BH216">
        <v>2</v>
      </c>
      <c r="BI216">
        <v>2</v>
      </c>
      <c r="BJ216">
        <v>6</v>
      </c>
      <c r="BK216">
        <v>7</v>
      </c>
      <c r="BL216">
        <v>100</v>
      </c>
      <c r="BM216">
        <v>0</v>
      </c>
      <c r="BN216">
        <v>8</v>
      </c>
      <c r="BO216">
        <v>4</v>
      </c>
      <c r="BP216">
        <v>2</v>
      </c>
      <c r="BQ216">
        <v>2</v>
      </c>
      <c r="BR216">
        <v>4</v>
      </c>
      <c r="BS216">
        <v>44</v>
      </c>
      <c r="BU216" s="1">
        <f>AVERAGE(Table9[[#This Row],[1-Jan-21]:[1-Dec-25]])</f>
        <v>5.3</v>
      </c>
    </row>
    <row r="217" spans="1:73" x14ac:dyDescent="0.55000000000000004">
      <c r="A217">
        <v>216</v>
      </c>
      <c r="B217" t="s">
        <v>71</v>
      </c>
      <c r="C217" t="s">
        <v>72</v>
      </c>
      <c r="D217" t="s">
        <v>73</v>
      </c>
      <c r="E217" t="s">
        <v>116</v>
      </c>
      <c r="F217">
        <v>110912</v>
      </c>
      <c r="G217" t="s">
        <v>340</v>
      </c>
      <c r="H217" t="s">
        <v>76</v>
      </c>
      <c r="I217" t="s">
        <v>80</v>
      </c>
      <c r="J217">
        <v>40.04</v>
      </c>
      <c r="K217">
        <v>16</v>
      </c>
      <c r="L217">
        <v>25</v>
      </c>
      <c r="M217">
        <v>20</v>
      </c>
      <c r="N217">
        <v>3</v>
      </c>
      <c r="O217">
        <v>10</v>
      </c>
      <c r="P217">
        <v>4</v>
      </c>
      <c r="Q217">
        <v>10</v>
      </c>
      <c r="R217">
        <v>22</v>
      </c>
      <c r="S217">
        <v>17</v>
      </c>
      <c r="T217">
        <v>59</v>
      </c>
      <c r="U217">
        <v>10</v>
      </c>
      <c r="V217">
        <v>14</v>
      </c>
      <c r="W217">
        <v>37</v>
      </c>
      <c r="X217">
        <v>27</v>
      </c>
      <c r="Y217">
        <v>27</v>
      </c>
      <c r="Z217">
        <v>22</v>
      </c>
      <c r="AA217">
        <v>48</v>
      </c>
      <c r="AB217">
        <v>50</v>
      </c>
      <c r="AC217">
        <v>0</v>
      </c>
      <c r="AD217">
        <v>20</v>
      </c>
      <c r="AE217">
        <v>20</v>
      </c>
      <c r="AF217">
        <v>36</v>
      </c>
      <c r="AG217">
        <v>25</v>
      </c>
      <c r="AH217">
        <v>4</v>
      </c>
      <c r="AI217">
        <v>0</v>
      </c>
      <c r="AJ217">
        <v>15</v>
      </c>
      <c r="AK217">
        <v>0</v>
      </c>
      <c r="AL217">
        <v>6</v>
      </c>
      <c r="AM217">
        <v>10</v>
      </c>
      <c r="AN217">
        <v>15</v>
      </c>
      <c r="AO217">
        <v>22</v>
      </c>
      <c r="AP217">
        <v>0</v>
      </c>
      <c r="AQ217">
        <v>4</v>
      </c>
      <c r="AR217">
        <v>0</v>
      </c>
      <c r="AS217">
        <v>0</v>
      </c>
      <c r="AT217">
        <v>10</v>
      </c>
      <c r="AU217">
        <v>5</v>
      </c>
      <c r="AV217">
        <v>0</v>
      </c>
      <c r="AW217">
        <v>0</v>
      </c>
      <c r="AX217">
        <v>0</v>
      </c>
      <c r="AY217">
        <v>16</v>
      </c>
      <c r="AZ217">
        <v>0</v>
      </c>
      <c r="BA217">
        <v>23</v>
      </c>
      <c r="BB217">
        <v>0</v>
      </c>
      <c r="BC217">
        <v>25</v>
      </c>
      <c r="BD217">
        <v>27</v>
      </c>
      <c r="BE217">
        <v>13</v>
      </c>
      <c r="BF217">
        <v>43</v>
      </c>
      <c r="BG217">
        <v>6</v>
      </c>
      <c r="BH217">
        <v>0</v>
      </c>
      <c r="BI217">
        <v>10</v>
      </c>
      <c r="BJ217">
        <v>9</v>
      </c>
      <c r="BK217">
        <v>0</v>
      </c>
      <c r="BL217">
        <v>10</v>
      </c>
      <c r="BM217">
        <v>7</v>
      </c>
      <c r="BN217">
        <v>5</v>
      </c>
      <c r="BO217">
        <v>0</v>
      </c>
      <c r="BP217">
        <v>10</v>
      </c>
      <c r="BQ217">
        <v>22</v>
      </c>
      <c r="BR217">
        <v>0</v>
      </c>
      <c r="BS217">
        <v>45</v>
      </c>
      <c r="BU217" s="1">
        <f>AVERAGE(Table9[[#This Row],[1-Jan-21]:[1-Dec-25]])</f>
        <v>13.983333333333333</v>
      </c>
    </row>
    <row r="218" spans="1:73" x14ac:dyDescent="0.55000000000000004">
      <c r="A218">
        <v>217</v>
      </c>
      <c r="B218" t="s">
        <v>71</v>
      </c>
      <c r="C218" t="s">
        <v>72</v>
      </c>
      <c r="D218" t="s">
        <v>73</v>
      </c>
      <c r="E218" t="s">
        <v>87</v>
      </c>
      <c r="F218">
        <v>107729</v>
      </c>
      <c r="G218" t="s">
        <v>341</v>
      </c>
      <c r="H218" t="s">
        <v>76</v>
      </c>
      <c r="I218" t="s">
        <v>80</v>
      </c>
      <c r="J218">
        <v>3.45</v>
      </c>
      <c r="K218">
        <v>70</v>
      </c>
      <c r="L218">
        <v>27</v>
      </c>
      <c r="M218">
        <v>0</v>
      </c>
      <c r="N218">
        <v>30</v>
      </c>
      <c r="O218">
        <v>25</v>
      </c>
      <c r="P218">
        <v>35</v>
      </c>
      <c r="Q218">
        <v>0</v>
      </c>
      <c r="R218">
        <v>0</v>
      </c>
      <c r="S218">
        <v>20</v>
      </c>
      <c r="T218">
        <v>44</v>
      </c>
      <c r="U218">
        <v>50</v>
      </c>
      <c r="V218">
        <v>25</v>
      </c>
      <c r="W218">
        <v>4</v>
      </c>
      <c r="X218">
        <v>15</v>
      </c>
      <c r="Y218">
        <v>25</v>
      </c>
      <c r="Z218">
        <v>10</v>
      </c>
      <c r="AA218">
        <v>22</v>
      </c>
      <c r="AB218">
        <v>50</v>
      </c>
      <c r="AC218">
        <v>70</v>
      </c>
      <c r="AD218">
        <v>0</v>
      </c>
      <c r="AE218">
        <v>0</v>
      </c>
      <c r="AF218">
        <v>30</v>
      </c>
      <c r="AG218">
        <v>0</v>
      </c>
      <c r="AH218">
        <v>0</v>
      </c>
      <c r="AI218">
        <v>30</v>
      </c>
      <c r="AJ218">
        <v>26</v>
      </c>
      <c r="AK218">
        <v>0</v>
      </c>
      <c r="AL218">
        <v>10</v>
      </c>
      <c r="AM218">
        <v>19</v>
      </c>
      <c r="AN218">
        <v>4</v>
      </c>
      <c r="AO218">
        <v>40</v>
      </c>
      <c r="AP218">
        <v>40</v>
      </c>
      <c r="AQ218">
        <v>0</v>
      </c>
      <c r="AR218">
        <v>42</v>
      </c>
      <c r="AS218">
        <v>30</v>
      </c>
      <c r="AT218">
        <v>40</v>
      </c>
      <c r="AU218">
        <v>0</v>
      </c>
      <c r="AV218">
        <v>80</v>
      </c>
      <c r="AW218">
        <v>7</v>
      </c>
      <c r="AX218">
        <v>57</v>
      </c>
      <c r="AY218">
        <v>0</v>
      </c>
      <c r="AZ218">
        <v>10</v>
      </c>
      <c r="BA218">
        <v>51</v>
      </c>
      <c r="BB218">
        <v>0</v>
      </c>
      <c r="BC218">
        <v>30</v>
      </c>
      <c r="BD218">
        <v>17</v>
      </c>
      <c r="BE218">
        <v>60</v>
      </c>
      <c r="BF218">
        <v>130</v>
      </c>
      <c r="BG218">
        <v>172</v>
      </c>
      <c r="BH218">
        <v>0</v>
      </c>
      <c r="BI218">
        <v>0</v>
      </c>
      <c r="BJ218">
        <v>0</v>
      </c>
      <c r="BK218">
        <v>17</v>
      </c>
      <c r="BL218">
        <v>0</v>
      </c>
      <c r="BM218">
        <v>12</v>
      </c>
      <c r="BN218">
        <v>4</v>
      </c>
      <c r="BO218">
        <v>20</v>
      </c>
      <c r="BP218">
        <v>0</v>
      </c>
      <c r="BQ218">
        <v>0</v>
      </c>
      <c r="BR218">
        <v>0</v>
      </c>
      <c r="BS218">
        <v>41</v>
      </c>
      <c r="BU218" s="1">
        <f>AVERAGE(Table9[[#This Row],[1-Jan-21]:[1-Dec-25]])</f>
        <v>25</v>
      </c>
    </row>
    <row r="219" spans="1:73" x14ac:dyDescent="0.55000000000000004">
      <c r="A219">
        <v>218</v>
      </c>
      <c r="B219" t="s">
        <v>71</v>
      </c>
      <c r="C219" t="s">
        <v>72</v>
      </c>
      <c r="D219" t="s">
        <v>73</v>
      </c>
      <c r="E219" t="s">
        <v>87</v>
      </c>
      <c r="F219">
        <v>107694</v>
      </c>
      <c r="G219" t="s">
        <v>342</v>
      </c>
      <c r="H219" t="s">
        <v>76</v>
      </c>
      <c r="I219" t="s">
        <v>80</v>
      </c>
      <c r="J219">
        <v>30.16</v>
      </c>
      <c r="K219">
        <v>70</v>
      </c>
      <c r="L219">
        <v>28</v>
      </c>
      <c r="M219">
        <v>81</v>
      </c>
      <c r="N219">
        <v>8</v>
      </c>
      <c r="O219">
        <v>0</v>
      </c>
      <c r="P219">
        <v>95</v>
      </c>
      <c r="Q219">
        <v>10</v>
      </c>
      <c r="R219">
        <v>141</v>
      </c>
      <c r="S219">
        <v>142</v>
      </c>
      <c r="T219">
        <v>134</v>
      </c>
      <c r="U219">
        <v>12</v>
      </c>
      <c r="V219">
        <v>45</v>
      </c>
      <c r="W219">
        <v>72</v>
      </c>
      <c r="X219">
        <v>36</v>
      </c>
      <c r="Y219">
        <v>120</v>
      </c>
      <c r="Z219">
        <v>35</v>
      </c>
      <c r="AA219">
        <v>60</v>
      </c>
      <c r="AB219">
        <v>21</v>
      </c>
      <c r="AC219">
        <v>30</v>
      </c>
      <c r="AD219">
        <v>2</v>
      </c>
      <c r="AE219">
        <v>0</v>
      </c>
      <c r="AF219">
        <v>4</v>
      </c>
      <c r="AG219">
        <v>12</v>
      </c>
      <c r="AH219">
        <v>0</v>
      </c>
      <c r="AI219">
        <v>29</v>
      </c>
      <c r="AJ219">
        <v>12</v>
      </c>
      <c r="AK219">
        <v>15</v>
      </c>
      <c r="AL219">
        <v>20</v>
      </c>
      <c r="AM219">
        <v>15</v>
      </c>
      <c r="AN219">
        <v>4</v>
      </c>
      <c r="AO219">
        <v>0</v>
      </c>
      <c r="AP219">
        <v>20</v>
      </c>
      <c r="AQ219">
        <v>22</v>
      </c>
      <c r="AR219">
        <v>7</v>
      </c>
      <c r="AS219">
        <v>20</v>
      </c>
      <c r="AT219">
        <v>15</v>
      </c>
      <c r="AU219">
        <v>4</v>
      </c>
      <c r="AV219">
        <v>15</v>
      </c>
      <c r="AW219">
        <v>24</v>
      </c>
      <c r="AX219">
        <v>17</v>
      </c>
      <c r="AY219">
        <v>40</v>
      </c>
      <c r="AZ219">
        <v>10</v>
      </c>
      <c r="BA219">
        <v>20</v>
      </c>
      <c r="BB219">
        <v>20</v>
      </c>
      <c r="BC219">
        <v>20</v>
      </c>
      <c r="BD219">
        <v>15</v>
      </c>
      <c r="BE219">
        <v>0</v>
      </c>
      <c r="BF219">
        <v>12</v>
      </c>
      <c r="BG219">
        <v>47</v>
      </c>
      <c r="BH219">
        <v>12</v>
      </c>
      <c r="BI219">
        <v>10</v>
      </c>
      <c r="BJ219">
        <v>15</v>
      </c>
      <c r="BK219">
        <v>71</v>
      </c>
      <c r="BL219">
        <v>58</v>
      </c>
      <c r="BM219">
        <v>45</v>
      </c>
      <c r="BN219">
        <v>0</v>
      </c>
      <c r="BO219">
        <v>20</v>
      </c>
      <c r="BP219">
        <v>79</v>
      </c>
      <c r="BQ219">
        <v>0</v>
      </c>
      <c r="BR219">
        <v>16</v>
      </c>
      <c r="BS219">
        <v>53</v>
      </c>
      <c r="BU219" s="1">
        <f>AVERAGE(Table9[[#This Row],[1-Jan-21]:[1-Dec-25]])</f>
        <v>31.783333333333335</v>
      </c>
    </row>
    <row r="220" spans="1:73" x14ac:dyDescent="0.55000000000000004">
      <c r="A220">
        <v>219</v>
      </c>
      <c r="B220" t="s">
        <v>71</v>
      </c>
      <c r="C220" t="s">
        <v>72</v>
      </c>
      <c r="D220" t="s">
        <v>73</v>
      </c>
      <c r="E220" t="s">
        <v>87</v>
      </c>
      <c r="F220">
        <v>107677</v>
      </c>
      <c r="G220" t="s">
        <v>343</v>
      </c>
      <c r="H220" t="s">
        <v>76</v>
      </c>
      <c r="I220" t="s">
        <v>80</v>
      </c>
      <c r="J220">
        <v>11.79</v>
      </c>
      <c r="K220">
        <v>64</v>
      </c>
      <c r="L220">
        <v>120</v>
      </c>
      <c r="M220">
        <v>130</v>
      </c>
      <c r="N220">
        <v>55</v>
      </c>
      <c r="O220">
        <v>20</v>
      </c>
      <c r="P220">
        <v>45</v>
      </c>
      <c r="Q220">
        <v>30</v>
      </c>
      <c r="R220">
        <v>60</v>
      </c>
      <c r="S220">
        <v>70</v>
      </c>
      <c r="T220">
        <v>170</v>
      </c>
      <c r="U220">
        <v>100</v>
      </c>
      <c r="V220">
        <v>202</v>
      </c>
      <c r="W220">
        <v>30</v>
      </c>
      <c r="X220">
        <v>6</v>
      </c>
      <c r="Y220">
        <v>30</v>
      </c>
      <c r="Z220">
        <v>50</v>
      </c>
      <c r="AA220">
        <v>32</v>
      </c>
      <c r="AB220">
        <v>170</v>
      </c>
      <c r="AC220">
        <v>30</v>
      </c>
      <c r="AD220">
        <v>90</v>
      </c>
      <c r="AE220">
        <v>60</v>
      </c>
      <c r="AF220">
        <v>20</v>
      </c>
      <c r="AG220">
        <v>45</v>
      </c>
      <c r="AH220">
        <v>74</v>
      </c>
      <c r="AI220">
        <v>50</v>
      </c>
      <c r="AJ220">
        <v>20</v>
      </c>
      <c r="AK220">
        <v>0</v>
      </c>
      <c r="AL220">
        <v>4</v>
      </c>
      <c r="AM220">
        <v>34</v>
      </c>
      <c r="AN220">
        <v>50</v>
      </c>
      <c r="AO220">
        <v>60</v>
      </c>
      <c r="AP220">
        <v>0</v>
      </c>
      <c r="AQ220">
        <v>50</v>
      </c>
      <c r="AR220">
        <v>10</v>
      </c>
      <c r="AS220">
        <v>2</v>
      </c>
      <c r="AT220">
        <v>10</v>
      </c>
      <c r="AU220">
        <v>16</v>
      </c>
      <c r="AV220">
        <v>0</v>
      </c>
      <c r="AW220">
        <v>50</v>
      </c>
      <c r="AX220">
        <v>0</v>
      </c>
      <c r="AY220">
        <v>27</v>
      </c>
      <c r="AZ220">
        <v>20</v>
      </c>
      <c r="BA220">
        <v>0</v>
      </c>
      <c r="BB220">
        <v>0</v>
      </c>
      <c r="BC220">
        <v>0</v>
      </c>
      <c r="BD220">
        <v>0</v>
      </c>
      <c r="BE220">
        <v>40</v>
      </c>
      <c r="BF220">
        <v>20</v>
      </c>
      <c r="BG220">
        <v>30</v>
      </c>
      <c r="BH220">
        <v>60</v>
      </c>
      <c r="BI220">
        <v>0</v>
      </c>
      <c r="BJ220">
        <v>0</v>
      </c>
      <c r="BK220">
        <v>36</v>
      </c>
      <c r="BL220">
        <v>20</v>
      </c>
      <c r="BM220">
        <v>26</v>
      </c>
      <c r="BN220">
        <v>40</v>
      </c>
      <c r="BO220">
        <v>62</v>
      </c>
      <c r="BP220">
        <v>60</v>
      </c>
      <c r="BQ220">
        <v>20</v>
      </c>
      <c r="BR220">
        <v>0</v>
      </c>
      <c r="BS220">
        <v>49</v>
      </c>
      <c r="BU220" s="1">
        <f>AVERAGE(Table9[[#This Row],[1-Jan-21]:[1-Dec-25]])</f>
        <v>42</v>
      </c>
    </row>
    <row r="221" spans="1:73" x14ac:dyDescent="0.55000000000000004">
      <c r="A221">
        <v>220</v>
      </c>
      <c r="B221" t="s">
        <v>71</v>
      </c>
      <c r="C221" t="s">
        <v>72</v>
      </c>
      <c r="D221" t="s">
        <v>73</v>
      </c>
      <c r="E221" t="s">
        <v>87</v>
      </c>
      <c r="F221">
        <v>107773</v>
      </c>
      <c r="G221" t="s">
        <v>344</v>
      </c>
      <c r="H221" t="s">
        <v>76</v>
      </c>
      <c r="I221" t="s">
        <v>80</v>
      </c>
      <c r="J221">
        <v>11.57</v>
      </c>
      <c r="K221">
        <v>10</v>
      </c>
      <c r="L221">
        <v>220</v>
      </c>
      <c r="M221">
        <v>100</v>
      </c>
      <c r="N221">
        <v>190</v>
      </c>
      <c r="O221">
        <v>300</v>
      </c>
      <c r="P221">
        <v>100</v>
      </c>
      <c r="Q221">
        <v>0</v>
      </c>
      <c r="R221">
        <v>200</v>
      </c>
      <c r="S221">
        <v>40</v>
      </c>
      <c r="T221">
        <v>100</v>
      </c>
      <c r="U221">
        <v>450</v>
      </c>
      <c r="V221">
        <v>100</v>
      </c>
      <c r="W221">
        <v>30</v>
      </c>
      <c r="X221">
        <v>0</v>
      </c>
      <c r="Y221">
        <v>300</v>
      </c>
      <c r="Z221">
        <v>550</v>
      </c>
      <c r="AA221">
        <v>0</v>
      </c>
      <c r="AB221">
        <v>270</v>
      </c>
      <c r="AC221">
        <v>400</v>
      </c>
      <c r="AD221">
        <v>575</v>
      </c>
      <c r="AE221">
        <v>200</v>
      </c>
      <c r="AF221">
        <v>28</v>
      </c>
      <c r="AG221">
        <v>256</v>
      </c>
      <c r="AH221">
        <v>212</v>
      </c>
      <c r="AI221">
        <v>180</v>
      </c>
      <c r="AJ221">
        <v>0</v>
      </c>
      <c r="AK221">
        <v>0</v>
      </c>
      <c r="AL221">
        <v>0</v>
      </c>
      <c r="AM221">
        <v>400</v>
      </c>
      <c r="AN221">
        <v>190</v>
      </c>
      <c r="AO221">
        <v>352</v>
      </c>
      <c r="AP221">
        <v>350</v>
      </c>
      <c r="AQ221">
        <v>424</v>
      </c>
      <c r="AR221">
        <v>671</v>
      </c>
      <c r="AS221">
        <v>500</v>
      </c>
      <c r="AT221">
        <v>400</v>
      </c>
      <c r="AU221">
        <v>460</v>
      </c>
      <c r="AV221">
        <v>147</v>
      </c>
      <c r="AW221">
        <v>550</v>
      </c>
      <c r="AX221">
        <v>0</v>
      </c>
      <c r="AY221">
        <v>800</v>
      </c>
      <c r="AZ221">
        <v>226</v>
      </c>
      <c r="BA221">
        <v>200</v>
      </c>
      <c r="BB221">
        <v>0</v>
      </c>
      <c r="BC221">
        <v>870</v>
      </c>
      <c r="BD221">
        <v>700</v>
      </c>
      <c r="BE221">
        <v>400</v>
      </c>
      <c r="BF221">
        <v>400</v>
      </c>
      <c r="BG221">
        <v>0</v>
      </c>
      <c r="BH221">
        <v>250</v>
      </c>
      <c r="BI221">
        <v>0</v>
      </c>
      <c r="BJ221">
        <v>300</v>
      </c>
      <c r="BK221">
        <v>200</v>
      </c>
      <c r="BL221">
        <v>200</v>
      </c>
      <c r="BM221">
        <v>600</v>
      </c>
      <c r="BN221">
        <v>300</v>
      </c>
      <c r="BO221">
        <v>1250</v>
      </c>
      <c r="BP221">
        <v>1387</v>
      </c>
      <c r="BQ221">
        <v>600</v>
      </c>
      <c r="BR221">
        <v>300</v>
      </c>
      <c r="BS221">
        <v>50</v>
      </c>
      <c r="BU221" s="1">
        <f>AVERAGE(Table9[[#This Row],[1-Jan-21]:[1-Dec-25]])</f>
        <v>303.96666666666664</v>
      </c>
    </row>
    <row r="222" spans="1:73" x14ac:dyDescent="0.55000000000000004">
      <c r="A222">
        <v>221</v>
      </c>
      <c r="B222" t="s">
        <v>71</v>
      </c>
      <c r="C222" t="s">
        <v>72</v>
      </c>
      <c r="D222" t="s">
        <v>73</v>
      </c>
      <c r="E222" t="s">
        <v>74</v>
      </c>
      <c r="F222">
        <v>109729</v>
      </c>
      <c r="G222" t="s">
        <v>345</v>
      </c>
      <c r="H222" t="s">
        <v>76</v>
      </c>
      <c r="I222" t="s">
        <v>77</v>
      </c>
      <c r="J222">
        <v>144.84</v>
      </c>
      <c r="K222">
        <v>50</v>
      </c>
      <c r="L222">
        <v>103</v>
      </c>
      <c r="M222">
        <v>55</v>
      </c>
      <c r="N222">
        <v>15</v>
      </c>
      <c r="O222">
        <v>109</v>
      </c>
      <c r="P222">
        <v>49</v>
      </c>
      <c r="Q222">
        <v>75</v>
      </c>
      <c r="R222">
        <v>54</v>
      </c>
      <c r="S222">
        <v>113.11</v>
      </c>
      <c r="T222">
        <v>145.47999999999999</v>
      </c>
      <c r="U222">
        <v>150</v>
      </c>
      <c r="V222">
        <v>38</v>
      </c>
      <c r="W222">
        <v>174</v>
      </c>
      <c r="X222">
        <v>104.5</v>
      </c>
      <c r="Y222">
        <v>208.08</v>
      </c>
      <c r="Z222">
        <v>15</v>
      </c>
      <c r="AA222">
        <v>10</v>
      </c>
      <c r="AB222">
        <v>60</v>
      </c>
      <c r="AC222">
        <v>0</v>
      </c>
      <c r="AD222">
        <v>80</v>
      </c>
      <c r="AE222">
        <v>5</v>
      </c>
      <c r="AF222">
        <v>34</v>
      </c>
      <c r="AG222">
        <v>54</v>
      </c>
      <c r="AH222">
        <v>111.8</v>
      </c>
      <c r="AI222">
        <v>0</v>
      </c>
      <c r="AJ222">
        <v>54</v>
      </c>
      <c r="AK222">
        <v>56.6</v>
      </c>
      <c r="AL222">
        <v>45</v>
      </c>
      <c r="AM222">
        <v>0</v>
      </c>
      <c r="AN222">
        <v>2.86</v>
      </c>
      <c r="AO222">
        <v>35</v>
      </c>
      <c r="AP222">
        <v>112.54</v>
      </c>
      <c r="AQ222">
        <v>25</v>
      </c>
      <c r="AR222">
        <v>30</v>
      </c>
      <c r="AS222">
        <v>65</v>
      </c>
      <c r="AT222">
        <v>5</v>
      </c>
      <c r="AU222">
        <v>42</v>
      </c>
      <c r="AV222">
        <v>58.6</v>
      </c>
      <c r="AW222">
        <v>90</v>
      </c>
      <c r="AX222">
        <v>28</v>
      </c>
      <c r="AY222">
        <v>41.78</v>
      </c>
      <c r="AZ222">
        <v>3</v>
      </c>
      <c r="BA222">
        <v>94.32</v>
      </c>
      <c r="BB222">
        <v>30</v>
      </c>
      <c r="BC222">
        <v>38</v>
      </c>
      <c r="BD222">
        <v>52.7</v>
      </c>
      <c r="BE222">
        <v>46</v>
      </c>
      <c r="BF222">
        <v>54.5</v>
      </c>
      <c r="BG222">
        <v>32</v>
      </c>
      <c r="BH222">
        <v>72.5</v>
      </c>
      <c r="BI222">
        <v>0</v>
      </c>
      <c r="BJ222">
        <v>98.5</v>
      </c>
      <c r="BK222">
        <v>60.5</v>
      </c>
      <c r="BL222">
        <v>36</v>
      </c>
      <c r="BM222">
        <v>20</v>
      </c>
      <c r="BN222">
        <v>21.9</v>
      </c>
      <c r="BO222">
        <v>10</v>
      </c>
      <c r="BP222">
        <v>29</v>
      </c>
      <c r="BQ222">
        <v>28.3</v>
      </c>
      <c r="BR222">
        <v>0</v>
      </c>
      <c r="BS222">
        <v>55</v>
      </c>
      <c r="BU222" s="1">
        <f>AVERAGE(Table9[[#This Row],[1-Jan-21]:[1-Dec-25]])</f>
        <v>53.859500000000004</v>
      </c>
    </row>
    <row r="223" spans="1:73" x14ac:dyDescent="0.55000000000000004">
      <c r="A223">
        <v>222</v>
      </c>
      <c r="B223" t="s">
        <v>71</v>
      </c>
      <c r="C223" t="s">
        <v>72</v>
      </c>
      <c r="D223" t="s">
        <v>73</v>
      </c>
      <c r="E223" t="s">
        <v>87</v>
      </c>
      <c r="F223">
        <v>107620</v>
      </c>
      <c r="G223" t="s">
        <v>346</v>
      </c>
      <c r="H223" t="s">
        <v>76</v>
      </c>
      <c r="I223" t="s">
        <v>80</v>
      </c>
      <c r="J223">
        <v>27.78</v>
      </c>
      <c r="K223">
        <v>2</v>
      </c>
      <c r="L223">
        <v>20</v>
      </c>
      <c r="M223">
        <v>74</v>
      </c>
      <c r="N223">
        <v>26</v>
      </c>
      <c r="O223">
        <v>8</v>
      </c>
      <c r="P223">
        <v>40</v>
      </c>
      <c r="Q223">
        <v>40</v>
      </c>
      <c r="R223">
        <v>40</v>
      </c>
      <c r="S223">
        <v>10</v>
      </c>
      <c r="T223">
        <v>0</v>
      </c>
      <c r="U223">
        <v>14</v>
      </c>
      <c r="V223">
        <v>54</v>
      </c>
      <c r="W223">
        <v>0</v>
      </c>
      <c r="X223">
        <v>0</v>
      </c>
      <c r="Y223">
        <v>100</v>
      </c>
      <c r="Z223">
        <v>67</v>
      </c>
      <c r="AA223">
        <v>33</v>
      </c>
      <c r="AB223">
        <v>0</v>
      </c>
      <c r="AC223">
        <v>0</v>
      </c>
      <c r="AD223">
        <v>39</v>
      </c>
      <c r="AE223">
        <v>10</v>
      </c>
      <c r="AF223">
        <v>20</v>
      </c>
      <c r="AG223">
        <v>5</v>
      </c>
      <c r="AH223">
        <v>19</v>
      </c>
      <c r="AI223">
        <v>18</v>
      </c>
      <c r="AJ223">
        <v>44</v>
      </c>
      <c r="AK223">
        <v>30</v>
      </c>
      <c r="AL223">
        <v>0</v>
      </c>
      <c r="AM223">
        <v>48</v>
      </c>
      <c r="AN223">
        <v>12</v>
      </c>
      <c r="AO223">
        <v>16</v>
      </c>
      <c r="AP223">
        <v>13</v>
      </c>
      <c r="AQ223">
        <v>0</v>
      </c>
      <c r="AR223">
        <v>16</v>
      </c>
      <c r="AS223">
        <v>0</v>
      </c>
      <c r="AT223">
        <v>8</v>
      </c>
      <c r="AU223">
        <v>8</v>
      </c>
      <c r="AV223">
        <v>34</v>
      </c>
      <c r="AW223">
        <v>0</v>
      </c>
      <c r="AX223">
        <v>0</v>
      </c>
      <c r="AY223">
        <v>16</v>
      </c>
      <c r="AZ223">
        <v>0</v>
      </c>
      <c r="BA223">
        <v>35</v>
      </c>
      <c r="BB223">
        <v>65</v>
      </c>
      <c r="BC223">
        <v>10</v>
      </c>
      <c r="BD223">
        <v>0</v>
      </c>
      <c r="BE223">
        <v>4</v>
      </c>
      <c r="BF223">
        <v>10</v>
      </c>
      <c r="BG223">
        <v>0</v>
      </c>
      <c r="BH223">
        <v>4</v>
      </c>
      <c r="BI223">
        <v>0</v>
      </c>
      <c r="BJ223">
        <v>18</v>
      </c>
      <c r="BK223">
        <v>0</v>
      </c>
      <c r="BL223">
        <v>0</v>
      </c>
      <c r="BM223">
        <v>0</v>
      </c>
      <c r="BN223">
        <v>37</v>
      </c>
      <c r="BO223">
        <v>16</v>
      </c>
      <c r="BP223">
        <v>18</v>
      </c>
      <c r="BQ223">
        <v>0</v>
      </c>
      <c r="BR223">
        <v>20</v>
      </c>
      <c r="BS223">
        <v>42</v>
      </c>
      <c r="BU223" s="1">
        <f>AVERAGE(Table9[[#This Row],[1-Jan-21]:[1-Dec-25]])</f>
        <v>18.683333333333334</v>
      </c>
    </row>
    <row r="224" spans="1:73" x14ac:dyDescent="0.55000000000000004">
      <c r="A224">
        <v>223</v>
      </c>
      <c r="B224" t="s">
        <v>71</v>
      </c>
      <c r="C224" t="s">
        <v>72</v>
      </c>
      <c r="D224" t="s">
        <v>73</v>
      </c>
      <c r="E224" t="s">
        <v>87</v>
      </c>
      <c r="F224">
        <v>107614</v>
      </c>
      <c r="G224" t="s">
        <v>347</v>
      </c>
      <c r="H224" t="s">
        <v>76</v>
      </c>
      <c r="I224" t="s">
        <v>80</v>
      </c>
      <c r="J224">
        <v>6.6</v>
      </c>
      <c r="K224">
        <v>80</v>
      </c>
      <c r="L224">
        <v>174</v>
      </c>
      <c r="M224">
        <v>208</v>
      </c>
      <c r="N224">
        <v>307</v>
      </c>
      <c r="O224">
        <v>200</v>
      </c>
      <c r="P224">
        <v>303</v>
      </c>
      <c r="Q224">
        <v>88</v>
      </c>
      <c r="R224">
        <v>86</v>
      </c>
      <c r="S224">
        <v>159</v>
      </c>
      <c r="T224">
        <v>158</v>
      </c>
      <c r="U224">
        <v>230</v>
      </c>
      <c r="V224">
        <v>98</v>
      </c>
      <c r="W224">
        <v>216</v>
      </c>
      <c r="X224">
        <v>150</v>
      </c>
      <c r="Y224">
        <v>95</v>
      </c>
      <c r="Z224">
        <v>140</v>
      </c>
      <c r="AA224">
        <v>230</v>
      </c>
      <c r="AB224">
        <v>87</v>
      </c>
      <c r="AC224">
        <v>77</v>
      </c>
      <c r="AD224">
        <v>50</v>
      </c>
      <c r="AE224">
        <v>30</v>
      </c>
      <c r="AF224">
        <v>0</v>
      </c>
      <c r="AG224">
        <v>162</v>
      </c>
      <c r="AH224">
        <v>145</v>
      </c>
      <c r="AI224">
        <v>145</v>
      </c>
      <c r="AJ224">
        <v>149</v>
      </c>
      <c r="AK224">
        <v>0</v>
      </c>
      <c r="AL224">
        <v>160</v>
      </c>
      <c r="AM224">
        <v>212</v>
      </c>
      <c r="AN224">
        <v>115</v>
      </c>
      <c r="AO224">
        <v>154</v>
      </c>
      <c r="AP224">
        <v>124</v>
      </c>
      <c r="AQ224">
        <v>27</v>
      </c>
      <c r="AR224">
        <v>124</v>
      </c>
      <c r="AS224">
        <v>46</v>
      </c>
      <c r="AT224">
        <v>40</v>
      </c>
      <c r="AU224">
        <v>54</v>
      </c>
      <c r="AV224">
        <v>43</v>
      </c>
      <c r="AW224">
        <v>142</v>
      </c>
      <c r="AX224">
        <v>285</v>
      </c>
      <c r="AY224">
        <v>138</v>
      </c>
      <c r="AZ224">
        <v>148</v>
      </c>
      <c r="BA224">
        <v>18</v>
      </c>
      <c r="BB224">
        <v>5</v>
      </c>
      <c r="BC224">
        <v>76</v>
      </c>
      <c r="BD224">
        <v>88</v>
      </c>
      <c r="BE224">
        <v>56</v>
      </c>
      <c r="BF224">
        <v>50</v>
      </c>
      <c r="BG224">
        <v>80</v>
      </c>
      <c r="BH224">
        <v>101</v>
      </c>
      <c r="BI224">
        <v>74</v>
      </c>
      <c r="BJ224">
        <v>50</v>
      </c>
      <c r="BK224">
        <v>76</v>
      </c>
      <c r="BL224">
        <v>10</v>
      </c>
      <c r="BM224">
        <v>110</v>
      </c>
      <c r="BN224">
        <v>100</v>
      </c>
      <c r="BO224">
        <v>135</v>
      </c>
      <c r="BP224">
        <v>126</v>
      </c>
      <c r="BQ224">
        <v>14</v>
      </c>
      <c r="BR224">
        <v>16</v>
      </c>
      <c r="BS224">
        <v>58</v>
      </c>
      <c r="BU224" s="1">
        <f>AVERAGE(Table9[[#This Row],[1-Jan-21]:[1-Dec-25]])</f>
        <v>112.73333333333333</v>
      </c>
    </row>
    <row r="225" spans="1:73" x14ac:dyDescent="0.55000000000000004">
      <c r="A225">
        <v>224</v>
      </c>
      <c r="B225" t="s">
        <v>71</v>
      </c>
      <c r="C225" t="s">
        <v>72</v>
      </c>
      <c r="D225" t="s">
        <v>73</v>
      </c>
      <c r="E225" t="s">
        <v>99</v>
      </c>
      <c r="F225">
        <v>108117</v>
      </c>
      <c r="G225" t="s">
        <v>348</v>
      </c>
      <c r="H225" t="s">
        <v>76</v>
      </c>
      <c r="I225" t="s">
        <v>80</v>
      </c>
      <c r="J225">
        <v>680.27</v>
      </c>
      <c r="K225">
        <v>4</v>
      </c>
      <c r="L225">
        <v>5</v>
      </c>
      <c r="M225">
        <v>2</v>
      </c>
      <c r="N225">
        <v>8</v>
      </c>
      <c r="O225">
        <v>2</v>
      </c>
      <c r="P225">
        <v>6</v>
      </c>
      <c r="Q225">
        <v>4</v>
      </c>
      <c r="R225">
        <v>5</v>
      </c>
      <c r="S225">
        <v>5</v>
      </c>
      <c r="T225">
        <v>1</v>
      </c>
      <c r="U225">
        <v>4</v>
      </c>
      <c r="V225">
        <v>0</v>
      </c>
      <c r="W225">
        <v>5</v>
      </c>
      <c r="X225">
        <v>7</v>
      </c>
      <c r="Y225">
        <v>1</v>
      </c>
      <c r="Z225">
        <v>6</v>
      </c>
      <c r="AA225">
        <v>1</v>
      </c>
      <c r="AB225">
        <v>1</v>
      </c>
      <c r="AC225">
        <v>0</v>
      </c>
      <c r="AD225">
        <v>4</v>
      </c>
      <c r="AE225">
        <v>1</v>
      </c>
      <c r="AF225">
        <v>4</v>
      </c>
      <c r="AG225">
        <v>2</v>
      </c>
      <c r="AH225">
        <v>0</v>
      </c>
      <c r="AI225">
        <v>2</v>
      </c>
      <c r="AJ225">
        <v>2</v>
      </c>
      <c r="AK225">
        <v>1</v>
      </c>
      <c r="AL225">
        <v>2</v>
      </c>
      <c r="AM225">
        <v>1</v>
      </c>
      <c r="AN225">
        <v>3</v>
      </c>
      <c r="AO225">
        <v>1</v>
      </c>
      <c r="AP225">
        <v>1</v>
      </c>
      <c r="AQ225">
        <v>6</v>
      </c>
      <c r="AR225">
        <v>1</v>
      </c>
      <c r="AS225">
        <v>4</v>
      </c>
      <c r="AT225">
        <v>2</v>
      </c>
      <c r="AU225">
        <v>2</v>
      </c>
      <c r="AV225">
        <v>4</v>
      </c>
      <c r="AW225">
        <v>6</v>
      </c>
      <c r="AX225">
        <v>0</v>
      </c>
      <c r="AY225">
        <v>5</v>
      </c>
      <c r="AZ225">
        <v>4</v>
      </c>
      <c r="BA225">
        <v>4</v>
      </c>
      <c r="BB225">
        <v>2</v>
      </c>
      <c r="BC225">
        <v>7</v>
      </c>
      <c r="BD225">
        <v>4</v>
      </c>
      <c r="BE225">
        <v>4</v>
      </c>
      <c r="BF225">
        <v>3</v>
      </c>
      <c r="BG225">
        <v>0</v>
      </c>
      <c r="BH225">
        <v>4</v>
      </c>
      <c r="BI225">
        <v>2</v>
      </c>
      <c r="BJ225">
        <v>2</v>
      </c>
      <c r="BK225">
        <v>4</v>
      </c>
      <c r="BL225">
        <v>0</v>
      </c>
      <c r="BM225">
        <v>0</v>
      </c>
      <c r="BN225">
        <v>4</v>
      </c>
      <c r="BO225">
        <v>3</v>
      </c>
      <c r="BP225">
        <v>2</v>
      </c>
      <c r="BQ225">
        <v>0</v>
      </c>
      <c r="BR225">
        <v>0</v>
      </c>
      <c r="BS225">
        <v>51</v>
      </c>
      <c r="BU225" s="1">
        <f>AVERAGE(Table9[[#This Row],[1-Jan-21]:[1-Dec-25]])</f>
        <v>2.8333333333333335</v>
      </c>
    </row>
    <row r="226" spans="1:73" x14ac:dyDescent="0.55000000000000004">
      <c r="A226">
        <v>225</v>
      </c>
      <c r="B226" t="s">
        <v>71</v>
      </c>
      <c r="C226" t="s">
        <v>72</v>
      </c>
      <c r="D226" t="s">
        <v>73</v>
      </c>
      <c r="E226" t="s">
        <v>111</v>
      </c>
      <c r="F226">
        <v>135812</v>
      </c>
      <c r="G226" t="s">
        <v>349</v>
      </c>
      <c r="H226" t="s">
        <v>76</v>
      </c>
      <c r="I226" t="s">
        <v>105</v>
      </c>
      <c r="J226">
        <v>329.99</v>
      </c>
      <c r="K226">
        <v>136</v>
      </c>
      <c r="L226">
        <v>226</v>
      </c>
      <c r="M226">
        <v>16</v>
      </c>
      <c r="N226">
        <v>129.5</v>
      </c>
      <c r="O226">
        <v>117</v>
      </c>
      <c r="P226">
        <v>106</v>
      </c>
      <c r="Q226">
        <v>206.5</v>
      </c>
      <c r="R226">
        <v>382.5</v>
      </c>
      <c r="S226">
        <v>32.5</v>
      </c>
      <c r="T226">
        <v>460</v>
      </c>
      <c r="U226">
        <v>144.33000000000001</v>
      </c>
      <c r="V226">
        <v>409</v>
      </c>
      <c r="W226">
        <v>133.5</v>
      </c>
      <c r="X226">
        <v>471.66</v>
      </c>
      <c r="Y226">
        <v>198</v>
      </c>
      <c r="Z226">
        <v>322</v>
      </c>
      <c r="AA226">
        <v>225</v>
      </c>
      <c r="AB226">
        <v>85</v>
      </c>
      <c r="AC226">
        <v>85</v>
      </c>
      <c r="AD226">
        <v>2.5</v>
      </c>
      <c r="AE226">
        <v>284</v>
      </c>
      <c r="AF226">
        <v>402</v>
      </c>
      <c r="AG226">
        <v>167</v>
      </c>
      <c r="AH226">
        <v>250.5</v>
      </c>
      <c r="AI226">
        <v>93</v>
      </c>
      <c r="AJ226">
        <v>71</v>
      </c>
      <c r="AK226">
        <v>265</v>
      </c>
      <c r="AL226">
        <v>0</v>
      </c>
      <c r="AM226">
        <v>88.5</v>
      </c>
      <c r="AN226">
        <v>4.5</v>
      </c>
      <c r="AO226">
        <v>8</v>
      </c>
      <c r="AP226">
        <v>32.5</v>
      </c>
      <c r="AQ226">
        <v>4</v>
      </c>
      <c r="AR226">
        <v>30</v>
      </c>
      <c r="AS226">
        <v>118.5</v>
      </c>
      <c r="AT226">
        <v>63</v>
      </c>
      <c r="AU226">
        <v>51</v>
      </c>
      <c r="AV226">
        <v>10.5</v>
      </c>
      <c r="AW226">
        <v>114.6</v>
      </c>
      <c r="AX226">
        <v>0</v>
      </c>
      <c r="AY226">
        <v>16</v>
      </c>
      <c r="AZ226">
        <v>192</v>
      </c>
      <c r="BA226">
        <v>159</v>
      </c>
      <c r="BB226">
        <v>260</v>
      </c>
      <c r="BC226">
        <v>78</v>
      </c>
      <c r="BD226">
        <v>94.2</v>
      </c>
      <c r="BE226">
        <v>63.7</v>
      </c>
      <c r="BF226">
        <v>186</v>
      </c>
      <c r="BG226">
        <v>40.6</v>
      </c>
      <c r="BH226">
        <v>287</v>
      </c>
      <c r="BI226">
        <v>114</v>
      </c>
      <c r="BJ226">
        <v>244</v>
      </c>
      <c r="BK226">
        <v>60</v>
      </c>
      <c r="BL226">
        <v>115.5</v>
      </c>
      <c r="BM226">
        <v>355</v>
      </c>
      <c r="BN226">
        <v>66</v>
      </c>
      <c r="BO226">
        <v>142.5</v>
      </c>
      <c r="BP226">
        <v>55</v>
      </c>
      <c r="BQ226">
        <v>18</v>
      </c>
      <c r="BR226">
        <v>18</v>
      </c>
      <c r="BS226">
        <v>58</v>
      </c>
      <c r="BU226" s="1">
        <f>AVERAGE(Table9[[#This Row],[1-Jan-21]:[1-Dec-25]])</f>
        <v>141.83483333333334</v>
      </c>
    </row>
    <row r="227" spans="1:73" x14ac:dyDescent="0.55000000000000004">
      <c r="A227">
        <v>226</v>
      </c>
      <c r="B227" t="s">
        <v>71</v>
      </c>
      <c r="C227" t="s">
        <v>72</v>
      </c>
      <c r="D227" t="s">
        <v>73</v>
      </c>
      <c r="E227" t="s">
        <v>249</v>
      </c>
      <c r="F227">
        <v>190292</v>
      </c>
      <c r="G227" t="s">
        <v>350</v>
      </c>
      <c r="H227" t="s">
        <v>76</v>
      </c>
      <c r="I227" t="s">
        <v>80</v>
      </c>
      <c r="J227">
        <v>86.84</v>
      </c>
      <c r="K227">
        <v>6</v>
      </c>
      <c r="L227">
        <v>0</v>
      </c>
      <c r="M227">
        <v>6</v>
      </c>
      <c r="N227">
        <v>5</v>
      </c>
      <c r="O227">
        <v>2</v>
      </c>
      <c r="P227">
        <v>6</v>
      </c>
      <c r="Q227">
        <v>2</v>
      </c>
      <c r="R227">
        <v>4</v>
      </c>
      <c r="S227">
        <v>6</v>
      </c>
      <c r="T227">
        <v>4</v>
      </c>
      <c r="U227">
        <v>4</v>
      </c>
      <c r="V227">
        <v>4</v>
      </c>
      <c r="W227">
        <v>2</v>
      </c>
      <c r="X227">
        <v>0</v>
      </c>
      <c r="Y227">
        <v>5</v>
      </c>
      <c r="Z227">
        <v>6</v>
      </c>
      <c r="AA227">
        <v>6</v>
      </c>
      <c r="AB227">
        <v>0</v>
      </c>
      <c r="AC227">
        <v>0</v>
      </c>
      <c r="AD227">
        <v>2</v>
      </c>
      <c r="AE227">
        <v>3</v>
      </c>
      <c r="AF227">
        <v>4</v>
      </c>
      <c r="AG227">
        <v>0</v>
      </c>
      <c r="AH227">
        <v>5</v>
      </c>
      <c r="AI227">
        <v>5</v>
      </c>
      <c r="AJ227">
        <v>4</v>
      </c>
      <c r="AK227">
        <v>3</v>
      </c>
      <c r="AL227">
        <v>5</v>
      </c>
      <c r="AM227">
        <v>5</v>
      </c>
      <c r="AN227">
        <v>0</v>
      </c>
      <c r="AO227">
        <v>6</v>
      </c>
      <c r="AP227">
        <v>5</v>
      </c>
      <c r="AQ227">
        <v>10</v>
      </c>
      <c r="AR227">
        <v>0</v>
      </c>
      <c r="AS227">
        <v>6</v>
      </c>
      <c r="AT227">
        <v>2</v>
      </c>
      <c r="AU227">
        <v>3</v>
      </c>
      <c r="AV227">
        <v>5</v>
      </c>
      <c r="AW227">
        <v>9</v>
      </c>
      <c r="AX227">
        <v>8</v>
      </c>
      <c r="AY227">
        <v>3</v>
      </c>
      <c r="AZ227">
        <v>3</v>
      </c>
      <c r="BA227">
        <v>6</v>
      </c>
      <c r="BB227">
        <v>2</v>
      </c>
      <c r="BC227">
        <v>6</v>
      </c>
      <c r="BD227">
        <v>3</v>
      </c>
      <c r="BE227">
        <v>9</v>
      </c>
      <c r="BF227">
        <v>5</v>
      </c>
      <c r="BG227">
        <v>0</v>
      </c>
      <c r="BH227">
        <v>5</v>
      </c>
      <c r="BI227">
        <v>1</v>
      </c>
      <c r="BJ227">
        <v>3</v>
      </c>
      <c r="BK227">
        <v>6</v>
      </c>
      <c r="BL227">
        <v>9</v>
      </c>
      <c r="BM227">
        <v>3</v>
      </c>
      <c r="BN227">
        <v>8</v>
      </c>
      <c r="BO227">
        <v>4</v>
      </c>
      <c r="BP227">
        <v>5</v>
      </c>
      <c r="BQ227">
        <v>11</v>
      </c>
      <c r="BR227">
        <v>4</v>
      </c>
      <c r="BS227">
        <v>52</v>
      </c>
      <c r="BU227" s="1">
        <f>AVERAGE(Table9[[#This Row],[1-Jan-21]:[1-Dec-25]])</f>
        <v>4.2333333333333334</v>
      </c>
    </row>
    <row r="228" spans="1:73" x14ac:dyDescent="0.55000000000000004">
      <c r="A228">
        <v>227</v>
      </c>
      <c r="B228" t="s">
        <v>71</v>
      </c>
      <c r="C228" t="s">
        <v>72</v>
      </c>
      <c r="D228" t="s">
        <v>73</v>
      </c>
      <c r="E228" t="s">
        <v>99</v>
      </c>
      <c r="F228">
        <v>108128</v>
      </c>
      <c r="G228" t="s">
        <v>351</v>
      </c>
      <c r="H228" t="s">
        <v>76</v>
      </c>
      <c r="I228" t="s">
        <v>80</v>
      </c>
      <c r="J228">
        <v>1423.6</v>
      </c>
      <c r="K228">
        <v>1</v>
      </c>
      <c r="L228">
        <v>2</v>
      </c>
      <c r="M228">
        <v>6</v>
      </c>
      <c r="N228">
        <v>7</v>
      </c>
      <c r="O228">
        <v>3</v>
      </c>
      <c r="P228">
        <v>2</v>
      </c>
      <c r="Q228">
        <v>5</v>
      </c>
      <c r="R228">
        <v>5</v>
      </c>
      <c r="S228">
        <v>4</v>
      </c>
      <c r="T228">
        <v>4</v>
      </c>
      <c r="U228">
        <v>7</v>
      </c>
      <c r="V228">
        <v>0</v>
      </c>
      <c r="W228">
        <v>2</v>
      </c>
      <c r="X228">
        <v>2</v>
      </c>
      <c r="Y228">
        <v>4</v>
      </c>
      <c r="Z228">
        <v>1</v>
      </c>
      <c r="AA228">
        <v>0</v>
      </c>
      <c r="AB228">
        <v>5</v>
      </c>
      <c r="AC228">
        <v>3</v>
      </c>
      <c r="AD228">
        <v>2</v>
      </c>
      <c r="AE228">
        <v>1</v>
      </c>
      <c r="AF228">
        <v>10</v>
      </c>
      <c r="AG228">
        <v>4</v>
      </c>
      <c r="AH228">
        <v>4</v>
      </c>
      <c r="AI228">
        <v>4</v>
      </c>
      <c r="AJ228">
        <v>3</v>
      </c>
      <c r="AK228">
        <v>2</v>
      </c>
      <c r="AL228">
        <v>1</v>
      </c>
      <c r="AM228">
        <v>0</v>
      </c>
      <c r="AN228">
        <v>4</v>
      </c>
      <c r="AO228">
        <v>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3</v>
      </c>
      <c r="AV228">
        <v>3</v>
      </c>
      <c r="AW228">
        <v>2</v>
      </c>
      <c r="AX228">
        <v>0</v>
      </c>
      <c r="AY228">
        <v>5</v>
      </c>
      <c r="AZ228">
        <v>7</v>
      </c>
      <c r="BA228">
        <v>3</v>
      </c>
      <c r="BB228">
        <v>1</v>
      </c>
      <c r="BC228">
        <v>2</v>
      </c>
      <c r="BD228">
        <v>1</v>
      </c>
      <c r="BE228">
        <v>6</v>
      </c>
      <c r="BF228">
        <v>2</v>
      </c>
      <c r="BG228">
        <v>3</v>
      </c>
      <c r="BH228">
        <v>3</v>
      </c>
      <c r="BI228">
        <v>0</v>
      </c>
      <c r="BJ228">
        <v>4</v>
      </c>
      <c r="BK228">
        <v>2</v>
      </c>
      <c r="BL228">
        <v>0</v>
      </c>
      <c r="BM228">
        <v>3</v>
      </c>
      <c r="BN228">
        <v>0</v>
      </c>
      <c r="BO228">
        <v>5</v>
      </c>
      <c r="BP228">
        <v>1</v>
      </c>
      <c r="BQ228">
        <v>3</v>
      </c>
      <c r="BR228">
        <v>1</v>
      </c>
      <c r="BS228">
        <v>48</v>
      </c>
      <c r="BU228" s="1">
        <f>AVERAGE(Table9[[#This Row],[1-Jan-21]:[1-Dec-25]])</f>
        <v>2.6666666666666665</v>
      </c>
    </row>
    <row r="229" spans="1:73" x14ac:dyDescent="0.55000000000000004">
      <c r="A229">
        <v>228</v>
      </c>
      <c r="B229" t="s">
        <v>71</v>
      </c>
      <c r="C229" t="s">
        <v>72</v>
      </c>
      <c r="D229" t="s">
        <v>73</v>
      </c>
      <c r="E229" t="s">
        <v>89</v>
      </c>
      <c r="F229">
        <v>109154</v>
      </c>
      <c r="G229" t="s">
        <v>352</v>
      </c>
      <c r="H229" t="s">
        <v>76</v>
      </c>
      <c r="I229" t="s">
        <v>80</v>
      </c>
      <c r="J229">
        <v>254.72</v>
      </c>
      <c r="K229">
        <v>17</v>
      </c>
      <c r="L229">
        <v>38</v>
      </c>
      <c r="M229">
        <v>51</v>
      </c>
      <c r="N229">
        <v>4</v>
      </c>
      <c r="O229">
        <v>0</v>
      </c>
      <c r="P229">
        <v>8</v>
      </c>
      <c r="Q229">
        <v>30</v>
      </c>
      <c r="R229">
        <v>85</v>
      </c>
      <c r="S229">
        <v>46</v>
      </c>
      <c r="T229">
        <v>149</v>
      </c>
      <c r="U229">
        <v>61</v>
      </c>
      <c r="V229">
        <v>55</v>
      </c>
      <c r="W229">
        <v>48</v>
      </c>
      <c r="X229">
        <v>109</v>
      </c>
      <c r="Y229">
        <v>51</v>
      </c>
      <c r="Z229">
        <v>288</v>
      </c>
      <c r="AA229">
        <v>67</v>
      </c>
      <c r="AB229">
        <v>64</v>
      </c>
      <c r="AC229">
        <v>28</v>
      </c>
      <c r="AD229">
        <v>12</v>
      </c>
      <c r="AE229">
        <v>15</v>
      </c>
      <c r="AF229">
        <v>34</v>
      </c>
      <c r="AG229">
        <v>21</v>
      </c>
      <c r="AH229">
        <v>30</v>
      </c>
      <c r="AI229">
        <v>62</v>
      </c>
      <c r="AJ229">
        <v>107</v>
      </c>
      <c r="AK229">
        <v>31</v>
      </c>
      <c r="AL229">
        <v>2</v>
      </c>
      <c r="AM229">
        <v>24</v>
      </c>
      <c r="AN229">
        <v>7</v>
      </c>
      <c r="AO229">
        <v>8</v>
      </c>
      <c r="AP229">
        <v>7</v>
      </c>
      <c r="AQ229">
        <v>13</v>
      </c>
      <c r="AR229">
        <v>15</v>
      </c>
      <c r="AS229">
        <v>13</v>
      </c>
      <c r="AT229">
        <v>14</v>
      </c>
      <c r="AU229">
        <v>21</v>
      </c>
      <c r="AV229">
        <v>18</v>
      </c>
      <c r="AW229">
        <v>27</v>
      </c>
      <c r="AX229">
        <v>10</v>
      </c>
      <c r="AY229">
        <v>16</v>
      </c>
      <c r="AZ229">
        <v>25</v>
      </c>
      <c r="BA229">
        <v>22</v>
      </c>
      <c r="BB229">
        <v>21</v>
      </c>
      <c r="BC229">
        <v>17</v>
      </c>
      <c r="BD229">
        <v>33</v>
      </c>
      <c r="BE229">
        <v>19</v>
      </c>
      <c r="BF229">
        <v>58</v>
      </c>
      <c r="BG229">
        <v>18</v>
      </c>
      <c r="BH229">
        <v>70</v>
      </c>
      <c r="BI229">
        <v>35</v>
      </c>
      <c r="BJ229">
        <v>25</v>
      </c>
      <c r="BK229">
        <v>17</v>
      </c>
      <c r="BL229">
        <v>22</v>
      </c>
      <c r="BM229">
        <v>37</v>
      </c>
      <c r="BN229">
        <v>24</v>
      </c>
      <c r="BO229">
        <v>23</v>
      </c>
      <c r="BP229">
        <v>31</v>
      </c>
      <c r="BQ229">
        <v>7</v>
      </c>
      <c r="BR229">
        <v>4</v>
      </c>
      <c r="BS229">
        <v>59</v>
      </c>
      <c r="BU229" s="1">
        <f>AVERAGE(Table9[[#This Row],[1-Jan-21]:[1-Dec-25]])</f>
        <v>36.9</v>
      </c>
    </row>
    <row r="230" spans="1:73" x14ac:dyDescent="0.55000000000000004">
      <c r="A230">
        <v>229</v>
      </c>
      <c r="B230" t="s">
        <v>71</v>
      </c>
      <c r="C230" t="s">
        <v>72</v>
      </c>
      <c r="D230" t="s">
        <v>73</v>
      </c>
      <c r="E230" t="s">
        <v>151</v>
      </c>
      <c r="F230">
        <v>111398</v>
      </c>
      <c r="G230" t="s">
        <v>353</v>
      </c>
      <c r="H230" t="s">
        <v>76</v>
      </c>
      <c r="I230" t="s">
        <v>80</v>
      </c>
      <c r="J230">
        <v>275.14</v>
      </c>
      <c r="K230">
        <v>524</v>
      </c>
      <c r="L230">
        <v>626</v>
      </c>
      <c r="M230">
        <v>1548</v>
      </c>
      <c r="N230">
        <v>841</v>
      </c>
      <c r="O230">
        <v>988</v>
      </c>
      <c r="P230">
        <v>1776</v>
      </c>
      <c r="Q230">
        <v>260</v>
      </c>
      <c r="R230">
        <v>764</v>
      </c>
      <c r="S230">
        <v>788</v>
      </c>
      <c r="T230">
        <v>1464</v>
      </c>
      <c r="U230">
        <v>492</v>
      </c>
      <c r="V230">
        <v>382</v>
      </c>
      <c r="W230">
        <v>1014</v>
      </c>
      <c r="X230">
        <v>952</v>
      </c>
      <c r="Y230">
        <v>1222</v>
      </c>
      <c r="Z230">
        <v>1400</v>
      </c>
      <c r="AA230">
        <v>1267</v>
      </c>
      <c r="AB230">
        <v>829</v>
      </c>
      <c r="AC230">
        <v>309</v>
      </c>
      <c r="AD230">
        <v>28</v>
      </c>
      <c r="AE230">
        <v>558</v>
      </c>
      <c r="AF230">
        <v>751</v>
      </c>
      <c r="AG230">
        <v>240</v>
      </c>
      <c r="AH230">
        <v>348</v>
      </c>
      <c r="AI230">
        <v>208</v>
      </c>
      <c r="AJ230">
        <v>456</v>
      </c>
      <c r="AK230">
        <v>72</v>
      </c>
      <c r="AL230">
        <v>544</v>
      </c>
      <c r="AM230">
        <v>766</v>
      </c>
      <c r="AN230">
        <v>219</v>
      </c>
      <c r="AO230">
        <v>410</v>
      </c>
      <c r="AP230">
        <v>222</v>
      </c>
      <c r="AQ230">
        <v>170</v>
      </c>
      <c r="AR230">
        <v>170</v>
      </c>
      <c r="AS230">
        <v>60</v>
      </c>
      <c r="AT230">
        <v>324</v>
      </c>
      <c r="AU230">
        <v>156</v>
      </c>
      <c r="AV230">
        <v>595</v>
      </c>
      <c r="AW230">
        <v>688</v>
      </c>
      <c r="AX230">
        <v>1326</v>
      </c>
      <c r="AY230">
        <v>1858</v>
      </c>
      <c r="AZ230">
        <v>777</v>
      </c>
      <c r="BA230">
        <v>124</v>
      </c>
      <c r="BB230">
        <v>528</v>
      </c>
      <c r="BC230">
        <v>60</v>
      </c>
      <c r="BD230">
        <v>418</v>
      </c>
      <c r="BE230">
        <v>34</v>
      </c>
      <c r="BF230">
        <v>488</v>
      </c>
      <c r="BG230">
        <v>588</v>
      </c>
      <c r="BH230">
        <v>973</v>
      </c>
      <c r="BI230">
        <v>272</v>
      </c>
      <c r="BJ230">
        <v>1218</v>
      </c>
      <c r="BK230">
        <v>372</v>
      </c>
      <c r="BL230">
        <v>94</v>
      </c>
      <c r="BM230">
        <v>380</v>
      </c>
      <c r="BN230">
        <v>108</v>
      </c>
      <c r="BO230">
        <v>68</v>
      </c>
      <c r="BP230">
        <v>155</v>
      </c>
      <c r="BQ230">
        <v>176</v>
      </c>
      <c r="BR230">
        <v>260</v>
      </c>
      <c r="BS230">
        <v>60</v>
      </c>
      <c r="BU230" s="1">
        <f>AVERAGE(Table9[[#This Row],[1-Jan-21]:[1-Dec-25]])</f>
        <v>578.4666666666667</v>
      </c>
    </row>
    <row r="231" spans="1:73" x14ac:dyDescent="0.55000000000000004">
      <c r="A231">
        <v>230</v>
      </c>
      <c r="B231" t="s">
        <v>71</v>
      </c>
      <c r="C231" t="s">
        <v>72</v>
      </c>
      <c r="D231" t="s">
        <v>73</v>
      </c>
      <c r="E231" t="s">
        <v>74</v>
      </c>
      <c r="F231">
        <v>109720</v>
      </c>
      <c r="G231" t="s">
        <v>354</v>
      </c>
      <c r="H231" t="s">
        <v>76</v>
      </c>
      <c r="I231" t="s">
        <v>77</v>
      </c>
      <c r="J231">
        <v>49.14</v>
      </c>
      <c r="K231">
        <v>650.20000000000005</v>
      </c>
      <c r="L231">
        <v>583</v>
      </c>
      <c r="M231">
        <v>282.7</v>
      </c>
      <c r="N231">
        <v>863.99</v>
      </c>
      <c r="O231">
        <v>457</v>
      </c>
      <c r="P231">
        <v>659</v>
      </c>
      <c r="Q231">
        <v>887</v>
      </c>
      <c r="R231">
        <v>647</v>
      </c>
      <c r="S231">
        <v>600</v>
      </c>
      <c r="T231">
        <v>1020</v>
      </c>
      <c r="U231">
        <v>952</v>
      </c>
      <c r="V231">
        <v>956</v>
      </c>
      <c r="W231">
        <v>1110</v>
      </c>
      <c r="X231">
        <v>1119</v>
      </c>
      <c r="Y231">
        <v>1594</v>
      </c>
      <c r="Z231">
        <v>662</v>
      </c>
      <c r="AA231">
        <v>720</v>
      </c>
      <c r="AB231">
        <v>598</v>
      </c>
      <c r="AC231">
        <v>360</v>
      </c>
      <c r="AD231">
        <v>93</v>
      </c>
      <c r="AE231">
        <v>0</v>
      </c>
      <c r="AF231">
        <v>85</v>
      </c>
      <c r="AG231">
        <v>1010</v>
      </c>
      <c r="AH231">
        <v>360</v>
      </c>
      <c r="AI231">
        <v>85</v>
      </c>
      <c r="AJ231">
        <v>788</v>
      </c>
      <c r="AK231">
        <v>49</v>
      </c>
      <c r="AL231">
        <v>0</v>
      </c>
      <c r="AM231">
        <v>42</v>
      </c>
      <c r="AN231">
        <v>310</v>
      </c>
      <c r="AO231">
        <v>619</v>
      </c>
      <c r="AP231">
        <v>660</v>
      </c>
      <c r="AQ231">
        <v>1156.5</v>
      </c>
      <c r="AR231">
        <v>470</v>
      </c>
      <c r="AS231">
        <v>57.5</v>
      </c>
      <c r="AT231">
        <v>133</v>
      </c>
      <c r="AU231">
        <v>245</v>
      </c>
      <c r="AV231">
        <v>683</v>
      </c>
      <c r="AW231">
        <v>246</v>
      </c>
      <c r="AX231">
        <v>392</v>
      </c>
      <c r="AY231">
        <v>85</v>
      </c>
      <c r="AZ231">
        <v>422</v>
      </c>
      <c r="BA231">
        <v>327</v>
      </c>
      <c r="BB231">
        <v>116</v>
      </c>
      <c r="BC231">
        <v>34</v>
      </c>
      <c r="BD231">
        <v>75</v>
      </c>
      <c r="BE231">
        <v>685</v>
      </c>
      <c r="BF231">
        <v>512</v>
      </c>
      <c r="BG231">
        <v>487.8</v>
      </c>
      <c r="BH231">
        <v>329</v>
      </c>
      <c r="BI231">
        <v>804.2</v>
      </c>
      <c r="BJ231">
        <v>1175</v>
      </c>
      <c r="BK231">
        <v>183</v>
      </c>
      <c r="BL231">
        <v>23.72</v>
      </c>
      <c r="BM231">
        <v>104</v>
      </c>
      <c r="BN231">
        <v>694</v>
      </c>
      <c r="BO231">
        <v>390</v>
      </c>
      <c r="BP231">
        <v>1159.28</v>
      </c>
      <c r="BQ231">
        <v>140.58000000000001</v>
      </c>
      <c r="BR231">
        <v>180</v>
      </c>
      <c r="BS231">
        <v>58</v>
      </c>
      <c r="BU231" s="1">
        <f>AVERAGE(Table9[[#This Row],[1-Jan-21]:[1-Dec-25]])</f>
        <v>502.19116666666667</v>
      </c>
    </row>
    <row r="232" spans="1:73" x14ac:dyDescent="0.55000000000000004">
      <c r="A232">
        <v>231</v>
      </c>
      <c r="B232" t="s">
        <v>71</v>
      </c>
      <c r="C232" t="s">
        <v>72</v>
      </c>
      <c r="D232" t="s">
        <v>73</v>
      </c>
      <c r="E232" t="s">
        <v>355</v>
      </c>
      <c r="F232">
        <v>108867</v>
      </c>
      <c r="G232" t="s">
        <v>356</v>
      </c>
      <c r="H232" t="s">
        <v>76</v>
      </c>
      <c r="I232" t="s">
        <v>80</v>
      </c>
      <c r="J232">
        <v>694.73</v>
      </c>
      <c r="K232">
        <v>2</v>
      </c>
      <c r="L232">
        <v>6</v>
      </c>
      <c r="M232">
        <v>4</v>
      </c>
      <c r="N232">
        <v>2</v>
      </c>
      <c r="O232">
        <v>0</v>
      </c>
      <c r="P232">
        <v>2</v>
      </c>
      <c r="Q232">
        <v>0</v>
      </c>
      <c r="R232">
        <v>4</v>
      </c>
      <c r="S232">
        <v>4</v>
      </c>
      <c r="T232">
        <v>4</v>
      </c>
      <c r="U232">
        <v>2</v>
      </c>
      <c r="V232">
        <v>2</v>
      </c>
      <c r="W232">
        <v>3</v>
      </c>
      <c r="X232">
        <v>2</v>
      </c>
      <c r="Y232">
        <v>3</v>
      </c>
      <c r="Z232">
        <v>4</v>
      </c>
      <c r="AA232">
        <v>8</v>
      </c>
      <c r="AB232">
        <v>0</v>
      </c>
      <c r="AC232">
        <v>4</v>
      </c>
      <c r="AD232">
        <v>2</v>
      </c>
      <c r="AE232">
        <v>2</v>
      </c>
      <c r="AF232">
        <v>6</v>
      </c>
      <c r="AG232">
        <v>2</v>
      </c>
      <c r="AH232">
        <v>6</v>
      </c>
      <c r="AI232">
        <v>0</v>
      </c>
      <c r="AJ232">
        <v>1</v>
      </c>
      <c r="AK232">
        <v>0</v>
      </c>
      <c r="AL232">
        <v>0</v>
      </c>
      <c r="AM232">
        <v>4</v>
      </c>
      <c r="AN232">
        <v>2</v>
      </c>
      <c r="AO232">
        <v>0</v>
      </c>
      <c r="AP232">
        <v>4</v>
      </c>
      <c r="AQ232">
        <v>1</v>
      </c>
      <c r="AR232">
        <v>4</v>
      </c>
      <c r="AS232">
        <v>2</v>
      </c>
      <c r="AT232">
        <v>1</v>
      </c>
      <c r="AU232">
        <v>2</v>
      </c>
      <c r="AV232">
        <v>2</v>
      </c>
      <c r="AW232">
        <v>3</v>
      </c>
      <c r="AX232">
        <v>4</v>
      </c>
      <c r="AY232">
        <v>0</v>
      </c>
      <c r="AZ232">
        <v>0</v>
      </c>
      <c r="BA232">
        <v>4</v>
      </c>
      <c r="BB232">
        <v>2</v>
      </c>
      <c r="BC232">
        <v>0</v>
      </c>
      <c r="BD232">
        <v>0</v>
      </c>
      <c r="BE232">
        <v>4</v>
      </c>
      <c r="BF232">
        <v>1</v>
      </c>
      <c r="BG232">
        <v>1</v>
      </c>
      <c r="BH232">
        <v>0</v>
      </c>
      <c r="BI232">
        <v>0</v>
      </c>
      <c r="BJ232">
        <v>4</v>
      </c>
      <c r="BK232">
        <v>0</v>
      </c>
      <c r="BL232">
        <v>0</v>
      </c>
      <c r="BM232">
        <v>2</v>
      </c>
      <c r="BN232">
        <v>0</v>
      </c>
      <c r="BO232">
        <v>5</v>
      </c>
      <c r="BP232">
        <v>0</v>
      </c>
      <c r="BQ232">
        <v>1</v>
      </c>
      <c r="BR232">
        <v>1</v>
      </c>
      <c r="BS232">
        <v>43</v>
      </c>
      <c r="BU232" s="1">
        <f>AVERAGE(Table9[[#This Row],[1-Jan-21]:[1-Dec-25]])</f>
        <v>2.15</v>
      </c>
    </row>
    <row r="233" spans="1:73" x14ac:dyDescent="0.55000000000000004">
      <c r="A233">
        <v>232</v>
      </c>
      <c r="B233" t="s">
        <v>71</v>
      </c>
      <c r="C233" t="s">
        <v>72</v>
      </c>
      <c r="D233" t="s">
        <v>73</v>
      </c>
      <c r="E233" t="s">
        <v>134</v>
      </c>
      <c r="F233">
        <v>108427</v>
      </c>
      <c r="G233" t="s">
        <v>357</v>
      </c>
      <c r="H233" t="s">
        <v>76</v>
      </c>
      <c r="I233" t="s">
        <v>80</v>
      </c>
      <c r="J233">
        <v>210</v>
      </c>
      <c r="K233">
        <v>2</v>
      </c>
      <c r="L233">
        <v>1</v>
      </c>
      <c r="M233">
        <v>2</v>
      </c>
      <c r="N233">
        <v>7</v>
      </c>
      <c r="O233">
        <v>5</v>
      </c>
      <c r="P233">
        <v>2</v>
      </c>
      <c r="Q233">
        <v>0</v>
      </c>
      <c r="R233">
        <v>4</v>
      </c>
      <c r="S233">
        <v>4</v>
      </c>
      <c r="T233">
        <v>3</v>
      </c>
      <c r="U233">
        <v>1</v>
      </c>
      <c r="V233">
        <v>2</v>
      </c>
      <c r="W233">
        <v>2</v>
      </c>
      <c r="X233">
        <v>6</v>
      </c>
      <c r="Y233">
        <v>3</v>
      </c>
      <c r="Z233">
        <v>0</v>
      </c>
      <c r="AA233">
        <v>5</v>
      </c>
      <c r="AB233">
        <v>2</v>
      </c>
      <c r="AC233">
        <v>2</v>
      </c>
      <c r="AD233">
        <v>3</v>
      </c>
      <c r="AE233">
        <v>5</v>
      </c>
      <c r="AF233">
        <v>1</v>
      </c>
      <c r="AG233">
        <v>2</v>
      </c>
      <c r="AH233">
        <v>1</v>
      </c>
      <c r="AI233">
        <v>2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</v>
      </c>
      <c r="AR233">
        <v>2</v>
      </c>
      <c r="AS233">
        <v>2</v>
      </c>
      <c r="AT233">
        <v>3</v>
      </c>
      <c r="AU233">
        <v>2</v>
      </c>
      <c r="AV233">
        <v>0</v>
      </c>
      <c r="AW233">
        <v>4</v>
      </c>
      <c r="AX233">
        <v>2</v>
      </c>
      <c r="AY233">
        <v>6</v>
      </c>
      <c r="AZ233">
        <v>3</v>
      </c>
      <c r="BA233">
        <v>6</v>
      </c>
      <c r="BB233">
        <v>7</v>
      </c>
      <c r="BC233">
        <v>4</v>
      </c>
      <c r="BD233">
        <v>11</v>
      </c>
      <c r="BE233">
        <v>10</v>
      </c>
      <c r="BF233">
        <v>9</v>
      </c>
      <c r="BG233">
        <v>9</v>
      </c>
      <c r="BH233">
        <v>9</v>
      </c>
      <c r="BI233">
        <v>4</v>
      </c>
      <c r="BJ233">
        <v>7</v>
      </c>
      <c r="BK233">
        <v>14</v>
      </c>
      <c r="BL233">
        <v>1</v>
      </c>
      <c r="BM233">
        <v>6</v>
      </c>
      <c r="BN233">
        <v>15</v>
      </c>
      <c r="BO233">
        <v>9</v>
      </c>
      <c r="BP233">
        <v>14</v>
      </c>
      <c r="BQ233">
        <v>11</v>
      </c>
      <c r="BR233">
        <v>0</v>
      </c>
      <c r="BS233">
        <v>50</v>
      </c>
      <c r="BU233" s="1">
        <f>AVERAGE(Table9[[#This Row],[1-Jan-21]:[1-Dec-25]])</f>
        <v>4</v>
      </c>
    </row>
    <row r="234" spans="1:73" x14ac:dyDescent="0.55000000000000004">
      <c r="A234">
        <v>233</v>
      </c>
      <c r="B234" t="s">
        <v>71</v>
      </c>
      <c r="C234" t="s">
        <v>72</v>
      </c>
      <c r="D234" t="s">
        <v>73</v>
      </c>
      <c r="E234" t="s">
        <v>134</v>
      </c>
      <c r="F234">
        <v>108414</v>
      </c>
      <c r="G234" t="s">
        <v>358</v>
      </c>
      <c r="H234" t="s">
        <v>76</v>
      </c>
      <c r="I234" t="s">
        <v>80</v>
      </c>
      <c r="J234">
        <v>184.97</v>
      </c>
      <c r="K234">
        <v>5</v>
      </c>
      <c r="L234">
        <v>4</v>
      </c>
      <c r="M234">
        <v>13</v>
      </c>
      <c r="N234">
        <v>28</v>
      </c>
      <c r="O234">
        <v>1</v>
      </c>
      <c r="P234">
        <v>14</v>
      </c>
      <c r="Q234">
        <v>3</v>
      </c>
      <c r="R234">
        <v>8</v>
      </c>
      <c r="S234">
        <v>8</v>
      </c>
      <c r="T234">
        <v>8</v>
      </c>
      <c r="U234">
        <v>10</v>
      </c>
      <c r="V234">
        <v>3</v>
      </c>
      <c r="W234">
        <v>8</v>
      </c>
      <c r="X234">
        <v>9</v>
      </c>
      <c r="Y234">
        <v>10</v>
      </c>
      <c r="Z234">
        <v>14</v>
      </c>
      <c r="AA234">
        <v>8</v>
      </c>
      <c r="AB234">
        <v>3</v>
      </c>
      <c r="AC234">
        <v>2</v>
      </c>
      <c r="AD234">
        <v>0</v>
      </c>
      <c r="AE234">
        <v>0</v>
      </c>
      <c r="AF234">
        <v>0</v>
      </c>
      <c r="AG234">
        <v>7</v>
      </c>
      <c r="AH234">
        <v>0</v>
      </c>
      <c r="AI234">
        <v>2</v>
      </c>
      <c r="AJ234">
        <v>4</v>
      </c>
      <c r="AK234">
        <v>4</v>
      </c>
      <c r="AL234">
        <v>1</v>
      </c>
      <c r="AM234">
        <v>0</v>
      </c>
      <c r="AN234">
        <v>6</v>
      </c>
      <c r="AO234">
        <v>2</v>
      </c>
      <c r="AP234">
        <v>0</v>
      </c>
      <c r="AQ234">
        <v>2</v>
      </c>
      <c r="AR234">
        <v>1</v>
      </c>
      <c r="AS234">
        <v>0</v>
      </c>
      <c r="AT234">
        <v>1</v>
      </c>
      <c r="AU234">
        <v>3</v>
      </c>
      <c r="AV234">
        <v>3</v>
      </c>
      <c r="AW234">
        <v>2</v>
      </c>
      <c r="AX234">
        <v>8</v>
      </c>
      <c r="AY234">
        <v>1</v>
      </c>
      <c r="AZ234">
        <v>8</v>
      </c>
      <c r="BA234">
        <v>3</v>
      </c>
      <c r="BB234">
        <v>0</v>
      </c>
      <c r="BC234">
        <v>3</v>
      </c>
      <c r="BD234">
        <v>2</v>
      </c>
      <c r="BE234">
        <v>0</v>
      </c>
      <c r="BF234">
        <v>0</v>
      </c>
      <c r="BG234">
        <v>8</v>
      </c>
      <c r="BH234">
        <v>0</v>
      </c>
      <c r="BI234">
        <v>9</v>
      </c>
      <c r="BJ234">
        <v>0</v>
      </c>
      <c r="BK234">
        <v>3</v>
      </c>
      <c r="BL234">
        <v>2</v>
      </c>
      <c r="BM234">
        <v>10</v>
      </c>
      <c r="BN234">
        <v>0</v>
      </c>
      <c r="BO234">
        <v>0</v>
      </c>
      <c r="BP234">
        <v>2</v>
      </c>
      <c r="BQ234">
        <v>0</v>
      </c>
      <c r="BR234">
        <v>2</v>
      </c>
      <c r="BS234">
        <v>45</v>
      </c>
      <c r="BU234" s="1">
        <f>AVERAGE(Table9[[#This Row],[1-Jan-21]:[1-Dec-25]])</f>
        <v>4.3</v>
      </c>
    </row>
    <row r="235" spans="1:73" x14ac:dyDescent="0.55000000000000004">
      <c r="A235">
        <v>234</v>
      </c>
      <c r="B235" t="s">
        <v>71</v>
      </c>
      <c r="C235" t="s">
        <v>72</v>
      </c>
      <c r="D235" t="s">
        <v>73</v>
      </c>
      <c r="E235" t="s">
        <v>359</v>
      </c>
      <c r="F235">
        <v>251051</v>
      </c>
      <c r="G235" t="s">
        <v>360</v>
      </c>
      <c r="H235" t="s">
        <v>76</v>
      </c>
      <c r="I235" t="s">
        <v>80</v>
      </c>
      <c r="J235">
        <v>17.940000000000001</v>
      </c>
      <c r="K235">
        <v>80</v>
      </c>
      <c r="L235">
        <v>80</v>
      </c>
      <c r="M235">
        <v>200</v>
      </c>
      <c r="N235">
        <v>30</v>
      </c>
      <c r="O235">
        <v>130</v>
      </c>
      <c r="P235">
        <v>355</v>
      </c>
      <c r="Q235">
        <v>100</v>
      </c>
      <c r="R235">
        <v>50</v>
      </c>
      <c r="S235">
        <v>200</v>
      </c>
      <c r="T235">
        <v>190</v>
      </c>
      <c r="U235">
        <v>350</v>
      </c>
      <c r="V235">
        <v>188</v>
      </c>
      <c r="W235">
        <v>250</v>
      </c>
      <c r="X235">
        <v>267</v>
      </c>
      <c r="Y235">
        <v>268</v>
      </c>
      <c r="Z235">
        <v>275</v>
      </c>
      <c r="AA235">
        <v>230</v>
      </c>
      <c r="AB235">
        <v>230</v>
      </c>
      <c r="AC235">
        <v>58</v>
      </c>
      <c r="AD235">
        <v>145</v>
      </c>
      <c r="AE235">
        <v>205</v>
      </c>
      <c r="AF235">
        <v>160</v>
      </c>
      <c r="AG235">
        <v>154</v>
      </c>
      <c r="AH235">
        <v>206</v>
      </c>
      <c r="AI235">
        <v>178</v>
      </c>
      <c r="AJ235">
        <v>170</v>
      </c>
      <c r="AK235">
        <v>260</v>
      </c>
      <c r="AL235">
        <v>240</v>
      </c>
      <c r="AM235">
        <v>124</v>
      </c>
      <c r="AN235">
        <v>208</v>
      </c>
      <c r="AO235">
        <v>110</v>
      </c>
      <c r="AP235">
        <v>70</v>
      </c>
      <c r="AQ235">
        <v>142</v>
      </c>
      <c r="AR235">
        <v>60</v>
      </c>
      <c r="AS235">
        <v>150</v>
      </c>
      <c r="AT235">
        <v>195</v>
      </c>
      <c r="AU235">
        <v>360</v>
      </c>
      <c r="AV235">
        <v>231</v>
      </c>
      <c r="AW235">
        <v>440</v>
      </c>
      <c r="AX235">
        <v>150</v>
      </c>
      <c r="AY235">
        <v>150</v>
      </c>
      <c r="AZ235">
        <v>120</v>
      </c>
      <c r="BA235">
        <v>175</v>
      </c>
      <c r="BB235">
        <v>100</v>
      </c>
      <c r="BC235">
        <v>106</v>
      </c>
      <c r="BD235">
        <v>220</v>
      </c>
      <c r="BE235">
        <v>370</v>
      </c>
      <c r="BF235">
        <v>337</v>
      </c>
      <c r="BG235">
        <v>466</v>
      </c>
      <c r="BH235">
        <v>134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50</v>
      </c>
      <c r="BU235" s="1">
        <f>AVERAGE(Table9[[#This Row],[1-Jan-21]:[1-Dec-25]])</f>
        <v>161.11666666666667</v>
      </c>
    </row>
    <row r="236" spans="1:73" x14ac:dyDescent="0.55000000000000004">
      <c r="A236">
        <v>235</v>
      </c>
      <c r="B236" t="s">
        <v>71</v>
      </c>
      <c r="C236" t="s">
        <v>72</v>
      </c>
      <c r="D236" t="s">
        <v>73</v>
      </c>
      <c r="E236" t="s">
        <v>249</v>
      </c>
      <c r="F236">
        <v>266070</v>
      </c>
      <c r="G236" t="s">
        <v>361</v>
      </c>
      <c r="H236" t="s">
        <v>76</v>
      </c>
      <c r="I236" t="s">
        <v>80</v>
      </c>
      <c r="J236">
        <v>88.29</v>
      </c>
      <c r="K236">
        <v>0</v>
      </c>
      <c r="L236">
        <v>0</v>
      </c>
      <c r="M236">
        <v>0</v>
      </c>
      <c r="N236">
        <v>10</v>
      </c>
      <c r="O236">
        <v>0</v>
      </c>
      <c r="P236">
        <v>2</v>
      </c>
      <c r="Q236">
        <v>2</v>
      </c>
      <c r="R236">
        <v>4</v>
      </c>
      <c r="S236">
        <v>2</v>
      </c>
      <c r="T236">
        <v>6</v>
      </c>
      <c r="U236">
        <v>10</v>
      </c>
      <c r="V236">
        <v>5</v>
      </c>
      <c r="W236">
        <v>6</v>
      </c>
      <c r="X236">
        <v>16</v>
      </c>
      <c r="Y236">
        <v>8</v>
      </c>
      <c r="Z236">
        <v>6</v>
      </c>
      <c r="AA236">
        <v>0</v>
      </c>
      <c r="AB236">
        <v>14</v>
      </c>
      <c r="AC236">
        <v>0</v>
      </c>
      <c r="AD236">
        <v>3</v>
      </c>
      <c r="AE236">
        <v>4</v>
      </c>
      <c r="AF236">
        <v>5</v>
      </c>
      <c r="AG236">
        <v>0</v>
      </c>
      <c r="AH236">
        <v>8</v>
      </c>
      <c r="AI236">
        <v>0</v>
      </c>
      <c r="AJ236">
        <v>7</v>
      </c>
      <c r="AK236">
        <v>0</v>
      </c>
      <c r="AL236">
        <v>0</v>
      </c>
      <c r="AM236">
        <v>0</v>
      </c>
      <c r="AN236">
        <v>0</v>
      </c>
      <c r="AO236">
        <v>5</v>
      </c>
      <c r="AP236">
        <v>0</v>
      </c>
      <c r="AQ236">
        <v>2</v>
      </c>
      <c r="AR236">
        <v>0</v>
      </c>
      <c r="AS236">
        <v>2</v>
      </c>
      <c r="AT236">
        <v>1</v>
      </c>
      <c r="AU236">
        <v>0</v>
      </c>
      <c r="AV236">
        <v>3</v>
      </c>
      <c r="AW236">
        <v>4</v>
      </c>
      <c r="AX236">
        <v>5</v>
      </c>
      <c r="AY236">
        <v>3</v>
      </c>
      <c r="AZ236">
        <v>7</v>
      </c>
      <c r="BA236">
        <v>9</v>
      </c>
      <c r="BB236">
        <v>3</v>
      </c>
      <c r="BC236">
        <v>3</v>
      </c>
      <c r="BD236">
        <v>3</v>
      </c>
      <c r="BE236">
        <v>5</v>
      </c>
      <c r="BF236">
        <v>6</v>
      </c>
      <c r="BG236">
        <v>7</v>
      </c>
      <c r="BH236">
        <v>0</v>
      </c>
      <c r="BI236">
        <v>3</v>
      </c>
      <c r="BJ236">
        <v>0</v>
      </c>
      <c r="BK236">
        <v>3</v>
      </c>
      <c r="BL236">
        <v>3</v>
      </c>
      <c r="BM236">
        <v>3</v>
      </c>
      <c r="BN236">
        <v>13</v>
      </c>
      <c r="BO236">
        <v>6</v>
      </c>
      <c r="BP236">
        <v>4</v>
      </c>
      <c r="BQ236">
        <v>8</v>
      </c>
      <c r="BR236">
        <v>6</v>
      </c>
      <c r="BS236">
        <v>43</v>
      </c>
      <c r="BU236" s="1">
        <f>AVERAGE(Table9[[#This Row],[1-Jan-21]:[1-Dec-25]])</f>
        <v>3.9166666666666665</v>
      </c>
    </row>
    <row r="237" spans="1:73" x14ac:dyDescent="0.55000000000000004">
      <c r="A237">
        <v>236</v>
      </c>
      <c r="B237" t="s">
        <v>71</v>
      </c>
      <c r="C237" t="s">
        <v>72</v>
      </c>
      <c r="D237" t="s">
        <v>73</v>
      </c>
      <c r="E237" t="s">
        <v>99</v>
      </c>
      <c r="F237">
        <v>107893</v>
      </c>
      <c r="G237" t="s">
        <v>362</v>
      </c>
      <c r="H237" t="s">
        <v>76</v>
      </c>
      <c r="I237" t="s">
        <v>80</v>
      </c>
      <c r="J237">
        <v>1736.02</v>
      </c>
      <c r="K237">
        <v>20</v>
      </c>
      <c r="L237">
        <v>4</v>
      </c>
      <c r="M237">
        <v>10</v>
      </c>
      <c r="N237">
        <v>9</v>
      </c>
      <c r="O237">
        <v>5</v>
      </c>
      <c r="P237">
        <v>13</v>
      </c>
      <c r="Q237">
        <v>0</v>
      </c>
      <c r="R237">
        <v>7</v>
      </c>
      <c r="S237">
        <v>13</v>
      </c>
      <c r="T237">
        <v>13</v>
      </c>
      <c r="U237">
        <v>3</v>
      </c>
      <c r="V237">
        <v>12</v>
      </c>
      <c r="W237">
        <v>19</v>
      </c>
      <c r="X237">
        <v>19</v>
      </c>
      <c r="Y237">
        <v>2</v>
      </c>
      <c r="Z237">
        <v>9</v>
      </c>
      <c r="AA237">
        <v>9</v>
      </c>
      <c r="AB237">
        <v>3</v>
      </c>
      <c r="AC237">
        <v>5</v>
      </c>
      <c r="AD237">
        <v>4</v>
      </c>
      <c r="AE237">
        <v>6</v>
      </c>
      <c r="AF237">
        <v>11</v>
      </c>
      <c r="AG237">
        <v>5</v>
      </c>
      <c r="AH237">
        <v>5</v>
      </c>
      <c r="AI237">
        <v>1</v>
      </c>
      <c r="AJ237">
        <v>5</v>
      </c>
      <c r="AK237">
        <v>9</v>
      </c>
      <c r="AL237">
        <v>5</v>
      </c>
      <c r="AM237">
        <v>7</v>
      </c>
      <c r="AN237">
        <v>4</v>
      </c>
      <c r="AO237">
        <v>2</v>
      </c>
      <c r="AP237">
        <v>7</v>
      </c>
      <c r="AQ237">
        <v>3</v>
      </c>
      <c r="AR237">
        <v>10</v>
      </c>
      <c r="AS237">
        <v>20</v>
      </c>
      <c r="AT237">
        <v>8</v>
      </c>
      <c r="AU237">
        <v>10</v>
      </c>
      <c r="AV237">
        <v>7</v>
      </c>
      <c r="AW237">
        <v>20</v>
      </c>
      <c r="AX237">
        <v>14</v>
      </c>
      <c r="AY237">
        <v>10</v>
      </c>
      <c r="AZ237">
        <v>12</v>
      </c>
      <c r="BA237">
        <v>0</v>
      </c>
      <c r="BB237">
        <v>9</v>
      </c>
      <c r="BC237">
        <v>11</v>
      </c>
      <c r="BD237">
        <v>8</v>
      </c>
      <c r="BE237">
        <v>10</v>
      </c>
      <c r="BF237">
        <v>5</v>
      </c>
      <c r="BG237">
        <v>5</v>
      </c>
      <c r="BH237">
        <v>6</v>
      </c>
      <c r="BI237">
        <v>0</v>
      </c>
      <c r="BJ237">
        <v>6</v>
      </c>
      <c r="BK237">
        <v>6</v>
      </c>
      <c r="BL237">
        <v>0</v>
      </c>
      <c r="BM237">
        <v>9</v>
      </c>
      <c r="BN237">
        <v>11</v>
      </c>
      <c r="BO237">
        <v>12</v>
      </c>
      <c r="BP237">
        <v>4</v>
      </c>
      <c r="BQ237">
        <v>3</v>
      </c>
      <c r="BR237">
        <v>10</v>
      </c>
      <c r="BS237">
        <v>56</v>
      </c>
      <c r="BU237" s="1">
        <f>AVERAGE(Table9[[#This Row],[1-Jan-21]:[1-Dec-25]])</f>
        <v>7.916666666666667</v>
      </c>
    </row>
    <row r="238" spans="1:73" x14ac:dyDescent="0.55000000000000004">
      <c r="A238">
        <v>237</v>
      </c>
      <c r="B238" t="s">
        <v>71</v>
      </c>
      <c r="C238" t="s">
        <v>72</v>
      </c>
      <c r="D238" t="s">
        <v>73</v>
      </c>
      <c r="E238" t="s">
        <v>151</v>
      </c>
      <c r="F238">
        <v>144932</v>
      </c>
      <c r="G238" t="s">
        <v>363</v>
      </c>
      <c r="H238" t="s">
        <v>76</v>
      </c>
      <c r="I238" t="s">
        <v>80</v>
      </c>
      <c r="J238">
        <v>955.38</v>
      </c>
      <c r="K238">
        <v>4</v>
      </c>
      <c r="L238">
        <v>8</v>
      </c>
      <c r="M238">
        <v>36</v>
      </c>
      <c r="N238">
        <v>4</v>
      </c>
      <c r="O238">
        <v>0</v>
      </c>
      <c r="P238">
        <v>4</v>
      </c>
      <c r="Q238">
        <v>28</v>
      </c>
      <c r="R238">
        <v>0</v>
      </c>
      <c r="S238">
        <v>0</v>
      </c>
      <c r="T238">
        <v>44</v>
      </c>
      <c r="U238">
        <v>4</v>
      </c>
      <c r="V238">
        <v>0</v>
      </c>
      <c r="W238">
        <v>4</v>
      </c>
      <c r="X238">
        <v>0</v>
      </c>
      <c r="Y238">
        <v>8</v>
      </c>
      <c r="Z238">
        <v>10</v>
      </c>
      <c r="AA238">
        <v>24</v>
      </c>
      <c r="AB238">
        <v>28</v>
      </c>
      <c r="AC238">
        <v>8</v>
      </c>
      <c r="AD238">
        <v>0</v>
      </c>
      <c r="AE238">
        <v>0</v>
      </c>
      <c r="AF238">
        <v>8</v>
      </c>
      <c r="AG238">
        <v>50</v>
      </c>
      <c r="AH238">
        <v>14</v>
      </c>
      <c r="AI238">
        <v>28</v>
      </c>
      <c r="AJ238">
        <v>16</v>
      </c>
      <c r="AK238">
        <v>4</v>
      </c>
      <c r="AL238">
        <v>16</v>
      </c>
      <c r="AM238">
        <v>16</v>
      </c>
      <c r="AN238">
        <v>24</v>
      </c>
      <c r="AO238">
        <v>14</v>
      </c>
      <c r="AP238">
        <v>16</v>
      </c>
      <c r="AQ238">
        <v>30</v>
      </c>
      <c r="AR238">
        <v>4</v>
      </c>
      <c r="AS238">
        <v>8</v>
      </c>
      <c r="AT238">
        <v>12</v>
      </c>
      <c r="AU238">
        <v>0</v>
      </c>
      <c r="AV238">
        <v>20</v>
      </c>
      <c r="AW238">
        <v>16</v>
      </c>
      <c r="AX238">
        <v>0</v>
      </c>
      <c r="AY238">
        <v>0</v>
      </c>
      <c r="AZ238">
        <v>36</v>
      </c>
      <c r="BA238">
        <v>0</v>
      </c>
      <c r="BB238">
        <v>0</v>
      </c>
      <c r="BC238">
        <v>11</v>
      </c>
      <c r="BD238">
        <v>0</v>
      </c>
      <c r="BE238">
        <v>4</v>
      </c>
      <c r="BF238">
        <v>0</v>
      </c>
      <c r="BG238">
        <v>24</v>
      </c>
      <c r="BH238">
        <v>0</v>
      </c>
      <c r="BI238">
        <v>12</v>
      </c>
      <c r="BJ238">
        <v>4</v>
      </c>
      <c r="BK238">
        <v>0</v>
      </c>
      <c r="BL238">
        <v>14</v>
      </c>
      <c r="BM238">
        <v>8</v>
      </c>
      <c r="BN238">
        <v>0</v>
      </c>
      <c r="BO238">
        <v>4</v>
      </c>
      <c r="BP238">
        <v>0</v>
      </c>
      <c r="BQ238">
        <v>12</v>
      </c>
      <c r="BR238">
        <v>4</v>
      </c>
      <c r="BS238">
        <v>42</v>
      </c>
      <c r="BU238" s="1">
        <f>AVERAGE(Table9[[#This Row],[1-Jan-21]:[1-Dec-25]])</f>
        <v>10.716666666666667</v>
      </c>
    </row>
    <row r="239" spans="1:73" x14ac:dyDescent="0.55000000000000004">
      <c r="A239">
        <v>238</v>
      </c>
      <c r="B239" t="s">
        <v>71</v>
      </c>
      <c r="C239" t="s">
        <v>72</v>
      </c>
      <c r="D239" t="s">
        <v>73</v>
      </c>
      <c r="E239" t="s">
        <v>151</v>
      </c>
      <c r="F239">
        <v>111400</v>
      </c>
      <c r="G239" t="s">
        <v>364</v>
      </c>
      <c r="H239" t="s">
        <v>76</v>
      </c>
      <c r="I239" t="s">
        <v>80</v>
      </c>
      <c r="J239">
        <v>654.22</v>
      </c>
      <c r="K239">
        <v>104</v>
      </c>
      <c r="L239">
        <v>202</v>
      </c>
      <c r="M239">
        <v>315</v>
      </c>
      <c r="N239">
        <v>277</v>
      </c>
      <c r="O239">
        <v>406</v>
      </c>
      <c r="P239">
        <v>98</v>
      </c>
      <c r="Q239">
        <v>132</v>
      </c>
      <c r="R239">
        <v>64</v>
      </c>
      <c r="S239">
        <v>263</v>
      </c>
      <c r="T239">
        <v>179</v>
      </c>
      <c r="U239">
        <v>172</v>
      </c>
      <c r="V239">
        <v>140</v>
      </c>
      <c r="W239">
        <v>473</v>
      </c>
      <c r="X239">
        <v>78</v>
      </c>
      <c r="Y239">
        <v>248</v>
      </c>
      <c r="Z239">
        <v>206</v>
      </c>
      <c r="AA239">
        <v>170</v>
      </c>
      <c r="AB239">
        <v>300</v>
      </c>
      <c r="AC239">
        <v>162</v>
      </c>
      <c r="AD239">
        <v>111</v>
      </c>
      <c r="AE239">
        <v>208</v>
      </c>
      <c r="AF239">
        <v>236</v>
      </c>
      <c r="AG239">
        <v>24</v>
      </c>
      <c r="AH239">
        <v>87</v>
      </c>
      <c r="AI239">
        <v>29</v>
      </c>
      <c r="AJ239">
        <v>90</v>
      </c>
      <c r="AK239">
        <v>116</v>
      </c>
      <c r="AL239">
        <v>52</v>
      </c>
      <c r="AM239">
        <v>64</v>
      </c>
      <c r="AN239">
        <v>119</v>
      </c>
      <c r="AO239">
        <v>72</v>
      </c>
      <c r="AP239">
        <v>34</v>
      </c>
      <c r="AQ239">
        <v>46</v>
      </c>
      <c r="AR239">
        <v>58</v>
      </c>
      <c r="AS239">
        <v>123</v>
      </c>
      <c r="AT239">
        <v>56</v>
      </c>
      <c r="AU239">
        <v>86</v>
      </c>
      <c r="AV239">
        <v>113</v>
      </c>
      <c r="AW239">
        <v>42</v>
      </c>
      <c r="AX239">
        <v>110</v>
      </c>
      <c r="AY239">
        <v>150</v>
      </c>
      <c r="AZ239">
        <v>74</v>
      </c>
      <c r="BA239">
        <v>34</v>
      </c>
      <c r="BB239">
        <v>48</v>
      </c>
      <c r="BC239">
        <v>164</v>
      </c>
      <c r="BD239">
        <v>78</v>
      </c>
      <c r="BE239">
        <v>78</v>
      </c>
      <c r="BF239">
        <v>64</v>
      </c>
      <c r="BG239">
        <v>112</v>
      </c>
      <c r="BH239">
        <v>80</v>
      </c>
      <c r="BI239">
        <v>134</v>
      </c>
      <c r="BJ239">
        <v>86</v>
      </c>
      <c r="BK239">
        <v>51</v>
      </c>
      <c r="BL239">
        <v>114</v>
      </c>
      <c r="BM239">
        <v>120</v>
      </c>
      <c r="BN239">
        <v>56</v>
      </c>
      <c r="BO239">
        <v>78</v>
      </c>
      <c r="BP239">
        <v>61</v>
      </c>
      <c r="BQ239">
        <v>70</v>
      </c>
      <c r="BR239">
        <v>92</v>
      </c>
      <c r="BS239">
        <v>60</v>
      </c>
      <c r="BU239" s="1">
        <f>AVERAGE(Table9[[#This Row],[1-Jan-21]:[1-Dec-25]])</f>
        <v>126.81666666666666</v>
      </c>
    </row>
    <row r="240" spans="1:73" x14ac:dyDescent="0.55000000000000004">
      <c r="A240">
        <v>239</v>
      </c>
      <c r="B240" t="s">
        <v>71</v>
      </c>
      <c r="C240" t="s">
        <v>72</v>
      </c>
      <c r="D240" t="s">
        <v>73</v>
      </c>
      <c r="E240" t="s">
        <v>87</v>
      </c>
      <c r="F240">
        <v>107645</v>
      </c>
      <c r="G240" t="s">
        <v>365</v>
      </c>
      <c r="H240" t="s">
        <v>76</v>
      </c>
      <c r="I240" t="s">
        <v>80</v>
      </c>
      <c r="J240">
        <v>69.61</v>
      </c>
      <c r="K240">
        <v>87</v>
      </c>
      <c r="L240">
        <v>105</v>
      </c>
      <c r="M240">
        <v>110</v>
      </c>
      <c r="N240">
        <v>96</v>
      </c>
      <c r="O240">
        <v>90</v>
      </c>
      <c r="P240">
        <v>97</v>
      </c>
      <c r="Q240">
        <v>65</v>
      </c>
      <c r="R240">
        <v>66</v>
      </c>
      <c r="S240">
        <v>98</v>
      </c>
      <c r="T240">
        <v>106</v>
      </c>
      <c r="U240">
        <v>150</v>
      </c>
      <c r="V240">
        <v>46</v>
      </c>
      <c r="W240">
        <v>50</v>
      </c>
      <c r="X240">
        <v>36</v>
      </c>
      <c r="Y240">
        <v>46</v>
      </c>
      <c r="Z240">
        <v>82</v>
      </c>
      <c r="AA240">
        <v>81</v>
      </c>
      <c r="AB240">
        <v>98</v>
      </c>
      <c r="AC240">
        <v>8</v>
      </c>
      <c r="AD240">
        <v>26</v>
      </c>
      <c r="AE240">
        <v>35</v>
      </c>
      <c r="AF240">
        <v>66</v>
      </c>
      <c r="AG240">
        <v>44</v>
      </c>
      <c r="AH240">
        <v>30</v>
      </c>
      <c r="AI240">
        <v>70</v>
      </c>
      <c r="AJ240">
        <v>46</v>
      </c>
      <c r="AK240">
        <v>66</v>
      </c>
      <c r="AL240">
        <v>12</v>
      </c>
      <c r="AM240">
        <v>70</v>
      </c>
      <c r="AN240">
        <v>58</v>
      </c>
      <c r="AO240">
        <v>54</v>
      </c>
      <c r="AP240">
        <v>44</v>
      </c>
      <c r="AQ240">
        <v>34</v>
      </c>
      <c r="AR240">
        <v>42</v>
      </c>
      <c r="AS240">
        <v>79</v>
      </c>
      <c r="AT240">
        <v>72</v>
      </c>
      <c r="AU240">
        <v>66</v>
      </c>
      <c r="AV240">
        <v>46</v>
      </c>
      <c r="AW240">
        <v>66</v>
      </c>
      <c r="AX240">
        <v>80</v>
      </c>
      <c r="AY240">
        <v>80</v>
      </c>
      <c r="AZ240">
        <v>94</v>
      </c>
      <c r="BA240">
        <v>56</v>
      </c>
      <c r="BB240">
        <v>83</v>
      </c>
      <c r="BC240">
        <v>68</v>
      </c>
      <c r="BD240">
        <v>72</v>
      </c>
      <c r="BE240">
        <v>68</v>
      </c>
      <c r="BF240">
        <v>118</v>
      </c>
      <c r="BG240">
        <v>100</v>
      </c>
      <c r="BH240">
        <v>68</v>
      </c>
      <c r="BI240">
        <v>44</v>
      </c>
      <c r="BJ240">
        <v>26</v>
      </c>
      <c r="BK240">
        <v>71</v>
      </c>
      <c r="BL240">
        <v>64</v>
      </c>
      <c r="BM240">
        <v>65</v>
      </c>
      <c r="BN240">
        <v>54</v>
      </c>
      <c r="BO240">
        <v>32</v>
      </c>
      <c r="BP240">
        <v>42</v>
      </c>
      <c r="BQ240">
        <v>76</v>
      </c>
      <c r="BR240">
        <v>26</v>
      </c>
      <c r="BS240">
        <v>60</v>
      </c>
      <c r="BU240" s="1">
        <f>AVERAGE(Table9[[#This Row],[1-Jan-21]:[1-Dec-25]])</f>
        <v>65.5</v>
      </c>
    </row>
    <row r="241" spans="1:73" x14ac:dyDescent="0.55000000000000004">
      <c r="A241">
        <v>240</v>
      </c>
      <c r="B241" t="s">
        <v>71</v>
      </c>
      <c r="C241" t="s">
        <v>72</v>
      </c>
      <c r="D241" t="s">
        <v>73</v>
      </c>
      <c r="E241" t="s">
        <v>366</v>
      </c>
      <c r="F241">
        <v>109983</v>
      </c>
      <c r="G241" t="s">
        <v>367</v>
      </c>
      <c r="H241" t="s">
        <v>76</v>
      </c>
      <c r="I241" t="s">
        <v>80</v>
      </c>
      <c r="J241">
        <v>5789.47</v>
      </c>
      <c r="K241">
        <v>9</v>
      </c>
      <c r="L241">
        <v>6</v>
      </c>
      <c r="M241">
        <v>0</v>
      </c>
      <c r="N241">
        <v>3</v>
      </c>
      <c r="O241">
        <v>9</v>
      </c>
      <c r="P241">
        <v>3</v>
      </c>
      <c r="Q241">
        <v>9</v>
      </c>
      <c r="R241">
        <v>3</v>
      </c>
      <c r="S241">
        <v>3</v>
      </c>
      <c r="T241">
        <v>3</v>
      </c>
      <c r="U241">
        <v>9</v>
      </c>
      <c r="V241">
        <v>0</v>
      </c>
      <c r="W241">
        <v>0</v>
      </c>
      <c r="X241">
        <v>6</v>
      </c>
      <c r="Y241">
        <v>3</v>
      </c>
      <c r="Z241">
        <v>3</v>
      </c>
      <c r="AA241">
        <v>3</v>
      </c>
      <c r="AB241">
        <v>3</v>
      </c>
      <c r="AC241">
        <v>0</v>
      </c>
      <c r="AD241">
        <v>3</v>
      </c>
      <c r="AE241">
        <v>0</v>
      </c>
      <c r="AF241">
        <v>6</v>
      </c>
      <c r="AG241">
        <v>0</v>
      </c>
      <c r="AH241">
        <v>0</v>
      </c>
      <c r="AI241">
        <v>3</v>
      </c>
      <c r="AJ241">
        <v>3</v>
      </c>
      <c r="AK241">
        <v>6</v>
      </c>
      <c r="AL241">
        <v>3</v>
      </c>
      <c r="AM241">
        <v>0</v>
      </c>
      <c r="AN241">
        <v>0</v>
      </c>
      <c r="AO241">
        <v>3</v>
      </c>
      <c r="AP241">
        <v>0</v>
      </c>
      <c r="AQ241">
        <v>6</v>
      </c>
      <c r="AR241">
        <v>3</v>
      </c>
      <c r="AS241">
        <v>0</v>
      </c>
      <c r="AT241">
        <v>3</v>
      </c>
      <c r="AU241">
        <v>3</v>
      </c>
      <c r="AV241">
        <v>3</v>
      </c>
      <c r="AW241">
        <v>4</v>
      </c>
      <c r="AX241">
        <v>2</v>
      </c>
      <c r="AY241">
        <v>6</v>
      </c>
      <c r="AZ241">
        <v>0</v>
      </c>
      <c r="BA241">
        <v>3</v>
      </c>
      <c r="BB241">
        <v>6</v>
      </c>
      <c r="BC241">
        <v>0</v>
      </c>
      <c r="BD241">
        <v>9</v>
      </c>
      <c r="BE241">
        <v>0</v>
      </c>
      <c r="BF241">
        <v>0</v>
      </c>
      <c r="BG241">
        <v>3</v>
      </c>
      <c r="BH241">
        <v>6</v>
      </c>
      <c r="BI241">
        <v>3</v>
      </c>
      <c r="BJ241">
        <v>0</v>
      </c>
      <c r="BK241">
        <v>6</v>
      </c>
      <c r="BL241">
        <v>0</v>
      </c>
      <c r="BM241">
        <v>0</v>
      </c>
      <c r="BN241">
        <v>0</v>
      </c>
      <c r="BO241">
        <v>9</v>
      </c>
      <c r="BP241">
        <v>3</v>
      </c>
      <c r="BQ241">
        <v>3</v>
      </c>
      <c r="BR241">
        <v>3</v>
      </c>
      <c r="BS241">
        <v>41</v>
      </c>
      <c r="BU241" s="1">
        <f>AVERAGE(Table9[[#This Row],[1-Jan-21]:[1-Dec-25]])</f>
        <v>3.1</v>
      </c>
    </row>
    <row r="242" spans="1:73" x14ac:dyDescent="0.55000000000000004">
      <c r="A242">
        <v>241</v>
      </c>
      <c r="B242" t="s">
        <v>71</v>
      </c>
      <c r="C242" t="s">
        <v>72</v>
      </c>
      <c r="D242" t="s">
        <v>73</v>
      </c>
      <c r="E242" t="s">
        <v>145</v>
      </c>
      <c r="F242">
        <v>110045</v>
      </c>
      <c r="G242" t="s">
        <v>368</v>
      </c>
      <c r="H242" t="s">
        <v>76</v>
      </c>
      <c r="I242" t="s">
        <v>80</v>
      </c>
      <c r="J242">
        <v>18.920000000000002</v>
      </c>
      <c r="K242">
        <v>32</v>
      </c>
      <c r="L242">
        <v>20</v>
      </c>
      <c r="M242">
        <v>38</v>
      </c>
      <c r="N242">
        <v>0</v>
      </c>
      <c r="O242">
        <v>17</v>
      </c>
      <c r="P242">
        <v>17</v>
      </c>
      <c r="Q242">
        <v>4</v>
      </c>
      <c r="R242">
        <v>10</v>
      </c>
      <c r="S242">
        <v>19</v>
      </c>
      <c r="T242">
        <v>43</v>
      </c>
      <c r="U242">
        <v>58</v>
      </c>
      <c r="V242">
        <v>16</v>
      </c>
      <c r="W242">
        <v>42</v>
      </c>
      <c r="X242">
        <v>17</v>
      </c>
      <c r="Y242">
        <v>40</v>
      </c>
      <c r="Z242">
        <v>4</v>
      </c>
      <c r="AA242">
        <v>26</v>
      </c>
      <c r="AB242">
        <v>39</v>
      </c>
      <c r="AC242">
        <v>0</v>
      </c>
      <c r="AD242">
        <v>0</v>
      </c>
      <c r="AE242">
        <v>4</v>
      </c>
      <c r="AF242">
        <v>10</v>
      </c>
      <c r="AG242">
        <v>10</v>
      </c>
      <c r="AH242">
        <v>0</v>
      </c>
      <c r="AI242">
        <v>21</v>
      </c>
      <c r="AJ242">
        <v>0</v>
      </c>
      <c r="AK242">
        <v>0</v>
      </c>
      <c r="AL242">
        <v>10</v>
      </c>
      <c r="AM242">
        <v>0</v>
      </c>
      <c r="AN242">
        <v>13</v>
      </c>
      <c r="AO242">
        <v>11</v>
      </c>
      <c r="AP242">
        <v>16</v>
      </c>
      <c r="AQ242">
        <v>1</v>
      </c>
      <c r="AR242">
        <v>2</v>
      </c>
      <c r="AS242">
        <v>0</v>
      </c>
      <c r="AT242">
        <v>2</v>
      </c>
      <c r="AU242">
        <v>10</v>
      </c>
      <c r="AV242">
        <v>38</v>
      </c>
      <c r="AW242">
        <v>66</v>
      </c>
      <c r="AX242">
        <v>24</v>
      </c>
      <c r="AY242">
        <v>15</v>
      </c>
      <c r="AZ242">
        <v>0</v>
      </c>
      <c r="BA242">
        <v>9</v>
      </c>
      <c r="BB242">
        <v>11</v>
      </c>
      <c r="BC242">
        <v>6</v>
      </c>
      <c r="BD242">
        <v>8</v>
      </c>
      <c r="BE242">
        <v>19</v>
      </c>
      <c r="BF242">
        <v>15</v>
      </c>
      <c r="BG242">
        <v>2</v>
      </c>
      <c r="BH242">
        <v>50</v>
      </c>
      <c r="BI242">
        <v>4</v>
      </c>
      <c r="BJ242">
        <v>0</v>
      </c>
      <c r="BK242">
        <v>11</v>
      </c>
      <c r="BL242">
        <v>16</v>
      </c>
      <c r="BM242">
        <v>10</v>
      </c>
      <c r="BN242">
        <v>14</v>
      </c>
      <c r="BO242">
        <v>15</v>
      </c>
      <c r="BP242">
        <v>8</v>
      </c>
      <c r="BQ242">
        <v>20</v>
      </c>
      <c r="BR242">
        <v>10</v>
      </c>
      <c r="BS242">
        <v>50</v>
      </c>
      <c r="BU242" s="1">
        <f>AVERAGE(Table9[[#This Row],[1-Jan-21]:[1-Dec-25]])</f>
        <v>15.383333333333333</v>
      </c>
    </row>
    <row r="243" spans="1:73" x14ac:dyDescent="0.55000000000000004">
      <c r="A243">
        <v>242</v>
      </c>
      <c r="B243" t="s">
        <v>71</v>
      </c>
      <c r="C243" t="s">
        <v>72</v>
      </c>
      <c r="D243" t="s">
        <v>73</v>
      </c>
      <c r="E243" t="s">
        <v>184</v>
      </c>
      <c r="F243">
        <v>107790</v>
      </c>
      <c r="G243" t="s">
        <v>369</v>
      </c>
      <c r="H243" t="s">
        <v>76</v>
      </c>
      <c r="I243" t="s">
        <v>80</v>
      </c>
      <c r="J243">
        <v>3.47</v>
      </c>
      <c r="K243">
        <v>256</v>
      </c>
      <c r="L243">
        <v>115</v>
      </c>
      <c r="M243">
        <v>485</v>
      </c>
      <c r="N243">
        <v>295</v>
      </c>
      <c r="O243">
        <v>257</v>
      </c>
      <c r="P243">
        <v>451</v>
      </c>
      <c r="Q243">
        <v>220</v>
      </c>
      <c r="R243">
        <v>370</v>
      </c>
      <c r="S243">
        <v>240</v>
      </c>
      <c r="T243">
        <v>250</v>
      </c>
      <c r="U243">
        <v>220</v>
      </c>
      <c r="V243">
        <v>70</v>
      </c>
      <c r="W243">
        <v>405</v>
      </c>
      <c r="X243">
        <v>575</v>
      </c>
      <c r="Y243">
        <v>156</v>
      </c>
      <c r="Z243">
        <v>416</v>
      </c>
      <c r="AA243">
        <v>450</v>
      </c>
      <c r="AB243">
        <v>537</v>
      </c>
      <c r="AC243">
        <v>230</v>
      </c>
      <c r="AD243">
        <v>170</v>
      </c>
      <c r="AE243">
        <v>310</v>
      </c>
      <c r="AF243">
        <v>260</v>
      </c>
      <c r="AG243">
        <v>435</v>
      </c>
      <c r="AH243">
        <v>548</v>
      </c>
      <c r="AI243">
        <v>211</v>
      </c>
      <c r="AJ243">
        <v>340</v>
      </c>
      <c r="AK243">
        <v>170</v>
      </c>
      <c r="AL243">
        <v>251</v>
      </c>
      <c r="AM243">
        <v>289</v>
      </c>
      <c r="AN243">
        <v>200</v>
      </c>
      <c r="AO243">
        <v>228</v>
      </c>
      <c r="AP243">
        <v>124</v>
      </c>
      <c r="AQ243">
        <v>225</v>
      </c>
      <c r="AR243">
        <v>243</v>
      </c>
      <c r="AS243">
        <v>243</v>
      </c>
      <c r="AT243">
        <v>170</v>
      </c>
      <c r="AU243">
        <v>58</v>
      </c>
      <c r="AV243">
        <v>264</v>
      </c>
      <c r="AW243">
        <v>265</v>
      </c>
      <c r="AX243">
        <v>205</v>
      </c>
      <c r="AY243">
        <v>312</v>
      </c>
      <c r="AZ243">
        <v>0</v>
      </c>
      <c r="BA243">
        <v>0</v>
      </c>
      <c r="BB243">
        <v>5</v>
      </c>
      <c r="BC243">
        <v>10</v>
      </c>
      <c r="BD243">
        <v>24</v>
      </c>
      <c r="BE243">
        <v>60</v>
      </c>
      <c r="BF243">
        <v>56</v>
      </c>
      <c r="BG243">
        <v>115</v>
      </c>
      <c r="BH243">
        <v>52</v>
      </c>
      <c r="BI243">
        <v>107</v>
      </c>
      <c r="BJ243">
        <v>20</v>
      </c>
      <c r="BK243">
        <v>26</v>
      </c>
      <c r="BL243">
        <v>0</v>
      </c>
      <c r="BM243">
        <v>58</v>
      </c>
      <c r="BN243">
        <v>0</v>
      </c>
      <c r="BO243">
        <v>56</v>
      </c>
      <c r="BP243">
        <v>0</v>
      </c>
      <c r="BQ243">
        <v>150</v>
      </c>
      <c r="BR243">
        <v>212</v>
      </c>
      <c r="BS243">
        <v>55</v>
      </c>
      <c r="BU243" s="1">
        <f>AVERAGE(Table9[[#This Row],[1-Jan-21]:[1-Dec-25]])</f>
        <v>207.83333333333334</v>
      </c>
    </row>
    <row r="244" spans="1:73" x14ac:dyDescent="0.55000000000000004">
      <c r="A244">
        <v>243</v>
      </c>
      <c r="B244" t="s">
        <v>71</v>
      </c>
      <c r="C244" t="s">
        <v>72</v>
      </c>
      <c r="D244" t="s">
        <v>73</v>
      </c>
      <c r="E244" t="s">
        <v>145</v>
      </c>
      <c r="F244">
        <v>110051</v>
      </c>
      <c r="G244" t="s">
        <v>370</v>
      </c>
      <c r="H244" t="s">
        <v>76</v>
      </c>
      <c r="I244" t="s">
        <v>80</v>
      </c>
      <c r="J244">
        <v>29.27</v>
      </c>
      <c r="K244">
        <v>21</v>
      </c>
      <c r="L244">
        <v>19</v>
      </c>
      <c r="M244">
        <v>24</v>
      </c>
      <c r="N244">
        <v>12</v>
      </c>
      <c r="O244">
        <v>10</v>
      </c>
      <c r="P244">
        <v>8</v>
      </c>
      <c r="Q244">
        <v>8</v>
      </c>
      <c r="R244">
        <v>0</v>
      </c>
      <c r="S244">
        <v>53</v>
      </c>
      <c r="T244">
        <v>10</v>
      </c>
      <c r="U244">
        <v>16</v>
      </c>
      <c r="V244">
        <v>0</v>
      </c>
      <c r="W244">
        <v>7</v>
      </c>
      <c r="X244">
        <v>13</v>
      </c>
      <c r="Y244">
        <v>4</v>
      </c>
      <c r="Z244">
        <v>5</v>
      </c>
      <c r="AA244">
        <v>4</v>
      </c>
      <c r="AB244">
        <v>15</v>
      </c>
      <c r="AC244">
        <v>0</v>
      </c>
      <c r="AD244">
        <v>10</v>
      </c>
      <c r="AE244">
        <v>2</v>
      </c>
      <c r="AF244">
        <v>14</v>
      </c>
      <c r="AG244">
        <v>11</v>
      </c>
      <c r="AH244">
        <v>2</v>
      </c>
      <c r="AI244">
        <v>0</v>
      </c>
      <c r="AJ244">
        <v>4</v>
      </c>
      <c r="AK244">
        <v>0</v>
      </c>
      <c r="AL244">
        <v>11</v>
      </c>
      <c r="AM244">
        <v>0</v>
      </c>
      <c r="AN244">
        <v>0</v>
      </c>
      <c r="AO244">
        <v>15</v>
      </c>
      <c r="AP244">
        <v>10</v>
      </c>
      <c r="AQ244">
        <v>0</v>
      </c>
      <c r="AR244">
        <v>14</v>
      </c>
      <c r="AS244">
        <v>16</v>
      </c>
      <c r="AT244">
        <v>30</v>
      </c>
      <c r="AU244">
        <v>0</v>
      </c>
      <c r="AV244">
        <v>1</v>
      </c>
      <c r="AW244">
        <v>2</v>
      </c>
      <c r="AX244">
        <v>0</v>
      </c>
      <c r="AY244">
        <v>12</v>
      </c>
      <c r="AZ244">
        <v>2</v>
      </c>
      <c r="BA244">
        <v>5</v>
      </c>
      <c r="BB244">
        <v>0</v>
      </c>
      <c r="BC244">
        <v>6</v>
      </c>
      <c r="BD244">
        <v>5</v>
      </c>
      <c r="BE244">
        <v>2</v>
      </c>
      <c r="BF244">
        <v>3</v>
      </c>
      <c r="BG244">
        <v>18</v>
      </c>
      <c r="BH244">
        <v>0</v>
      </c>
      <c r="BI244">
        <v>0</v>
      </c>
      <c r="BJ244">
        <v>10</v>
      </c>
      <c r="BK244">
        <v>3</v>
      </c>
      <c r="BL244">
        <v>0</v>
      </c>
      <c r="BM244">
        <v>0</v>
      </c>
      <c r="BN244">
        <v>6</v>
      </c>
      <c r="BO244">
        <v>3</v>
      </c>
      <c r="BP244">
        <v>0</v>
      </c>
      <c r="BQ244">
        <v>14</v>
      </c>
      <c r="BR244">
        <v>0</v>
      </c>
      <c r="BS244">
        <v>43</v>
      </c>
      <c r="BU244" s="1">
        <f>AVERAGE(Table9[[#This Row],[1-Jan-21]:[1-Dec-25]])</f>
        <v>7.666666666666667</v>
      </c>
    </row>
    <row r="245" spans="1:73" x14ac:dyDescent="0.55000000000000004">
      <c r="A245">
        <v>244</v>
      </c>
      <c r="B245" t="s">
        <v>71</v>
      </c>
      <c r="C245" t="s">
        <v>72</v>
      </c>
      <c r="D245" t="s">
        <v>73</v>
      </c>
      <c r="E245" t="s">
        <v>145</v>
      </c>
      <c r="F245">
        <v>108097</v>
      </c>
      <c r="G245" t="s">
        <v>371</v>
      </c>
      <c r="H245" t="s">
        <v>76</v>
      </c>
      <c r="I245" t="s">
        <v>80</v>
      </c>
      <c r="J245">
        <v>19.98</v>
      </c>
      <c r="K245">
        <v>234</v>
      </c>
      <c r="L245">
        <v>687</v>
      </c>
      <c r="M245">
        <v>725</v>
      </c>
      <c r="N245">
        <v>247</v>
      </c>
      <c r="O245">
        <v>1012</v>
      </c>
      <c r="P245">
        <v>1390</v>
      </c>
      <c r="Q245">
        <v>859</v>
      </c>
      <c r="R245">
        <v>830</v>
      </c>
      <c r="S245">
        <v>562</v>
      </c>
      <c r="T245">
        <v>531</v>
      </c>
      <c r="U245">
        <v>344</v>
      </c>
      <c r="V245">
        <v>505</v>
      </c>
      <c r="W245">
        <v>669</v>
      </c>
      <c r="X245">
        <v>212</v>
      </c>
      <c r="Y245">
        <v>464</v>
      </c>
      <c r="Z245">
        <v>380</v>
      </c>
      <c r="AA245">
        <v>265</v>
      </c>
      <c r="AB245">
        <v>254</v>
      </c>
      <c r="AC245">
        <v>137</v>
      </c>
      <c r="AD245">
        <v>28</v>
      </c>
      <c r="AE245">
        <v>315</v>
      </c>
      <c r="AF245">
        <v>267</v>
      </c>
      <c r="AG245">
        <v>439</v>
      </c>
      <c r="AH245">
        <v>90</v>
      </c>
      <c r="AI245">
        <v>153</v>
      </c>
      <c r="AJ245">
        <v>34</v>
      </c>
      <c r="AK245">
        <v>274</v>
      </c>
      <c r="AL245">
        <v>231</v>
      </c>
      <c r="AM245">
        <v>130</v>
      </c>
      <c r="AN245">
        <v>168</v>
      </c>
      <c r="AO245">
        <v>255</v>
      </c>
      <c r="AP245">
        <v>59</v>
      </c>
      <c r="AQ245">
        <v>133</v>
      </c>
      <c r="AR245">
        <v>202</v>
      </c>
      <c r="AS245">
        <v>251</v>
      </c>
      <c r="AT245">
        <v>464</v>
      </c>
      <c r="AU245">
        <v>240</v>
      </c>
      <c r="AV245">
        <v>484</v>
      </c>
      <c r="AW245">
        <v>221</v>
      </c>
      <c r="AX245">
        <v>168</v>
      </c>
      <c r="AY245">
        <v>358</v>
      </c>
      <c r="AZ245">
        <v>516</v>
      </c>
      <c r="BA245">
        <v>130</v>
      </c>
      <c r="BB245">
        <v>289</v>
      </c>
      <c r="BC245">
        <v>396</v>
      </c>
      <c r="BD245">
        <v>232</v>
      </c>
      <c r="BE245">
        <v>810</v>
      </c>
      <c r="BF245">
        <v>452</v>
      </c>
      <c r="BG245">
        <v>242</v>
      </c>
      <c r="BH245">
        <v>268</v>
      </c>
      <c r="BI245">
        <v>30</v>
      </c>
      <c r="BJ245">
        <v>626</v>
      </c>
      <c r="BK245">
        <v>79</v>
      </c>
      <c r="BL245">
        <v>212</v>
      </c>
      <c r="BM245">
        <v>121</v>
      </c>
      <c r="BN245">
        <v>524</v>
      </c>
      <c r="BO245">
        <v>274</v>
      </c>
      <c r="BP245">
        <v>336</v>
      </c>
      <c r="BQ245">
        <v>253</v>
      </c>
      <c r="BR245">
        <v>155</v>
      </c>
      <c r="BS245">
        <v>60</v>
      </c>
      <c r="BU245" s="1">
        <f>AVERAGE(Table9[[#This Row],[1-Jan-21]:[1-Dec-25]])</f>
        <v>353.6</v>
      </c>
    </row>
    <row r="246" spans="1:73" x14ac:dyDescent="0.55000000000000004">
      <c r="A246">
        <v>245</v>
      </c>
      <c r="B246" t="s">
        <v>71</v>
      </c>
      <c r="C246" t="s">
        <v>72</v>
      </c>
      <c r="D246" t="s">
        <v>73</v>
      </c>
      <c r="E246" t="s">
        <v>116</v>
      </c>
      <c r="F246">
        <v>110889</v>
      </c>
      <c r="G246" t="s">
        <v>372</v>
      </c>
      <c r="H246" t="s">
        <v>76</v>
      </c>
      <c r="I246" t="s">
        <v>80</v>
      </c>
      <c r="J246">
        <v>14.72</v>
      </c>
      <c r="K246">
        <v>78</v>
      </c>
      <c r="L246">
        <v>106</v>
      </c>
      <c r="M246">
        <v>92</v>
      </c>
      <c r="N246">
        <v>142</v>
      </c>
      <c r="O246">
        <v>122</v>
      </c>
      <c r="P246">
        <v>175</v>
      </c>
      <c r="Q246">
        <v>75</v>
      </c>
      <c r="R246">
        <v>84</v>
      </c>
      <c r="S246">
        <v>206</v>
      </c>
      <c r="T246">
        <v>260</v>
      </c>
      <c r="U246">
        <v>122</v>
      </c>
      <c r="V246">
        <v>61</v>
      </c>
      <c r="W246">
        <v>183</v>
      </c>
      <c r="X246">
        <v>167</v>
      </c>
      <c r="Y246">
        <v>127</v>
      </c>
      <c r="Z246">
        <v>126</v>
      </c>
      <c r="AA246">
        <v>94</v>
      </c>
      <c r="AB246">
        <v>189</v>
      </c>
      <c r="AC246">
        <v>65</v>
      </c>
      <c r="AD246">
        <v>57</v>
      </c>
      <c r="AE246">
        <v>78</v>
      </c>
      <c r="AF246">
        <v>143</v>
      </c>
      <c r="AG246">
        <v>153</v>
      </c>
      <c r="AH246">
        <v>125</v>
      </c>
      <c r="AI246">
        <v>93</v>
      </c>
      <c r="AJ246">
        <v>31</v>
      </c>
      <c r="AK246">
        <v>84</v>
      </c>
      <c r="AL246">
        <v>92</v>
      </c>
      <c r="AM246">
        <v>63</v>
      </c>
      <c r="AN246">
        <v>45</v>
      </c>
      <c r="AO246">
        <v>110</v>
      </c>
      <c r="AP246">
        <v>102</v>
      </c>
      <c r="AQ246">
        <v>124</v>
      </c>
      <c r="AR246">
        <v>91</v>
      </c>
      <c r="AS246">
        <v>64</v>
      </c>
      <c r="AT246">
        <v>149</v>
      </c>
      <c r="AU246">
        <v>86</v>
      </c>
      <c r="AV246">
        <v>49</v>
      </c>
      <c r="AW246">
        <v>106</v>
      </c>
      <c r="AX246">
        <v>101</v>
      </c>
      <c r="AY246">
        <v>122</v>
      </c>
      <c r="AZ246">
        <v>28</v>
      </c>
      <c r="BA246">
        <v>104</v>
      </c>
      <c r="BB246">
        <v>116</v>
      </c>
      <c r="BC246">
        <v>128</v>
      </c>
      <c r="BD246">
        <v>165</v>
      </c>
      <c r="BE246">
        <v>133</v>
      </c>
      <c r="BF246">
        <v>98</v>
      </c>
      <c r="BG246">
        <v>29</v>
      </c>
      <c r="BH246">
        <v>30</v>
      </c>
      <c r="BI246">
        <v>86</v>
      </c>
      <c r="BJ246">
        <v>135</v>
      </c>
      <c r="BK246">
        <v>118</v>
      </c>
      <c r="BL246">
        <v>49</v>
      </c>
      <c r="BM246">
        <v>45</v>
      </c>
      <c r="BN246">
        <v>32</v>
      </c>
      <c r="BO246">
        <v>97</v>
      </c>
      <c r="BP246">
        <v>132</v>
      </c>
      <c r="BQ246">
        <v>68</v>
      </c>
      <c r="BR246">
        <v>42</v>
      </c>
      <c r="BS246">
        <v>60</v>
      </c>
      <c r="BU246" s="1">
        <f>AVERAGE(Table9[[#This Row],[1-Jan-21]:[1-Dec-25]])</f>
        <v>102.95</v>
      </c>
    </row>
    <row r="247" spans="1:73" x14ac:dyDescent="0.55000000000000004">
      <c r="A247">
        <v>246</v>
      </c>
      <c r="B247" t="s">
        <v>71</v>
      </c>
      <c r="C247" t="s">
        <v>72</v>
      </c>
      <c r="D247" t="s">
        <v>73</v>
      </c>
      <c r="E247" t="s">
        <v>81</v>
      </c>
      <c r="F247">
        <v>111289</v>
      </c>
      <c r="G247" t="s">
        <v>373</v>
      </c>
      <c r="H247" t="s">
        <v>76</v>
      </c>
      <c r="I247" t="s">
        <v>80</v>
      </c>
      <c r="J247">
        <v>57.18</v>
      </c>
      <c r="K247">
        <v>5</v>
      </c>
      <c r="L247">
        <v>2</v>
      </c>
      <c r="M247">
        <v>3</v>
      </c>
      <c r="N247">
        <v>4</v>
      </c>
      <c r="O247">
        <v>0</v>
      </c>
      <c r="P247">
        <v>8</v>
      </c>
      <c r="Q247">
        <v>0</v>
      </c>
      <c r="R247">
        <v>7</v>
      </c>
      <c r="S247">
        <v>6</v>
      </c>
      <c r="T247">
        <v>10</v>
      </c>
      <c r="U247">
        <v>12</v>
      </c>
      <c r="V247">
        <v>6</v>
      </c>
      <c r="W247">
        <v>9</v>
      </c>
      <c r="X247">
        <v>0</v>
      </c>
      <c r="Y247">
        <v>2</v>
      </c>
      <c r="Z247">
        <v>0</v>
      </c>
      <c r="AA247">
        <v>0</v>
      </c>
      <c r="AB247">
        <v>12</v>
      </c>
      <c r="AC247">
        <v>4</v>
      </c>
      <c r="AD247">
        <v>0</v>
      </c>
      <c r="AE247">
        <v>5</v>
      </c>
      <c r="AF247">
        <v>9</v>
      </c>
      <c r="AG247">
        <v>8</v>
      </c>
      <c r="AH247">
        <v>5</v>
      </c>
      <c r="AI247">
        <v>9</v>
      </c>
      <c r="AJ247">
        <v>0</v>
      </c>
      <c r="AK247">
        <v>0</v>
      </c>
      <c r="AL247">
        <v>0</v>
      </c>
      <c r="AM247">
        <v>1</v>
      </c>
      <c r="AN247">
        <v>5</v>
      </c>
      <c r="AO247">
        <v>0</v>
      </c>
      <c r="AP247">
        <v>0</v>
      </c>
      <c r="AQ247">
        <v>2</v>
      </c>
      <c r="AR247">
        <v>2</v>
      </c>
      <c r="AS247">
        <v>2</v>
      </c>
      <c r="AT247">
        <v>0</v>
      </c>
      <c r="AU247">
        <v>5</v>
      </c>
      <c r="AV247">
        <v>0</v>
      </c>
      <c r="AW247">
        <v>0</v>
      </c>
      <c r="AX247">
        <v>0</v>
      </c>
      <c r="AY247">
        <v>64</v>
      </c>
      <c r="AZ247">
        <v>9</v>
      </c>
      <c r="BA247">
        <v>0</v>
      </c>
      <c r="BB247">
        <v>4</v>
      </c>
      <c r="BC247">
        <v>3</v>
      </c>
      <c r="BD247">
        <v>2</v>
      </c>
      <c r="BE247">
        <v>12</v>
      </c>
      <c r="BF247">
        <v>8</v>
      </c>
      <c r="BG247">
        <v>0</v>
      </c>
      <c r="BH247">
        <v>0</v>
      </c>
      <c r="BI247">
        <v>2</v>
      </c>
      <c r="BJ247">
        <v>0</v>
      </c>
      <c r="BK247">
        <v>0</v>
      </c>
      <c r="BL247">
        <v>14</v>
      </c>
      <c r="BM247">
        <v>6</v>
      </c>
      <c r="BN247">
        <v>10</v>
      </c>
      <c r="BO247">
        <v>5</v>
      </c>
      <c r="BP247">
        <v>10</v>
      </c>
      <c r="BQ247">
        <v>12</v>
      </c>
      <c r="BR247">
        <v>4</v>
      </c>
      <c r="BS247">
        <v>40</v>
      </c>
      <c r="BU247" s="1">
        <f>AVERAGE(Table9[[#This Row],[1-Jan-21]:[1-Dec-25]])</f>
        <v>5.1333333333333337</v>
      </c>
    </row>
    <row r="248" spans="1:73" x14ac:dyDescent="0.55000000000000004">
      <c r="A248">
        <v>247</v>
      </c>
      <c r="B248" t="s">
        <v>71</v>
      </c>
      <c r="C248" t="s">
        <v>72</v>
      </c>
      <c r="D248" t="s">
        <v>73</v>
      </c>
      <c r="E248" t="s">
        <v>147</v>
      </c>
      <c r="F248">
        <v>110119</v>
      </c>
      <c r="G248" t="s">
        <v>374</v>
      </c>
      <c r="H248" t="s">
        <v>76</v>
      </c>
      <c r="I248" t="s">
        <v>77</v>
      </c>
      <c r="J248">
        <v>119.18</v>
      </c>
      <c r="K248">
        <v>37.17</v>
      </c>
      <c r="L248">
        <v>47</v>
      </c>
      <c r="M248">
        <v>27.6</v>
      </c>
      <c r="N248">
        <v>20</v>
      </c>
      <c r="O248">
        <v>15</v>
      </c>
      <c r="P248">
        <v>14</v>
      </c>
      <c r="Q248">
        <v>15</v>
      </c>
      <c r="R248">
        <v>15</v>
      </c>
      <c r="S248">
        <v>35</v>
      </c>
      <c r="T248">
        <v>50</v>
      </c>
      <c r="U248">
        <v>83.2</v>
      </c>
      <c r="V248">
        <v>38</v>
      </c>
      <c r="W248">
        <v>0</v>
      </c>
      <c r="X248">
        <v>21</v>
      </c>
      <c r="Y248">
        <v>6</v>
      </c>
      <c r="Z248">
        <v>10</v>
      </c>
      <c r="AA248">
        <v>20</v>
      </c>
      <c r="AB248">
        <v>0</v>
      </c>
      <c r="AC248">
        <v>12</v>
      </c>
      <c r="AD248">
        <v>15</v>
      </c>
      <c r="AE248">
        <v>0</v>
      </c>
      <c r="AF248">
        <v>8.5</v>
      </c>
      <c r="AG248">
        <v>15.384</v>
      </c>
      <c r="AH248">
        <v>0</v>
      </c>
      <c r="AI248">
        <v>0</v>
      </c>
      <c r="AJ248">
        <v>20.152000000000001</v>
      </c>
      <c r="AK248">
        <v>13</v>
      </c>
      <c r="AL248">
        <v>5.81</v>
      </c>
      <c r="AM248">
        <v>25</v>
      </c>
      <c r="AN248">
        <v>35</v>
      </c>
      <c r="AO248">
        <v>10</v>
      </c>
      <c r="AP248">
        <v>14</v>
      </c>
      <c r="AQ248">
        <v>33.183999999999997</v>
      </c>
      <c r="AR248">
        <v>0</v>
      </c>
      <c r="AS248">
        <v>0</v>
      </c>
      <c r="AT248">
        <v>0</v>
      </c>
      <c r="AU248">
        <v>21</v>
      </c>
      <c r="AV248">
        <v>8</v>
      </c>
      <c r="AW248">
        <v>0</v>
      </c>
      <c r="AX248">
        <v>11</v>
      </c>
      <c r="AY248">
        <v>20</v>
      </c>
      <c r="AZ248">
        <v>0</v>
      </c>
      <c r="BA248">
        <v>12</v>
      </c>
      <c r="BB248">
        <v>0</v>
      </c>
      <c r="BC248">
        <v>10</v>
      </c>
      <c r="BD248">
        <v>0</v>
      </c>
      <c r="BE248">
        <v>17</v>
      </c>
      <c r="BF248">
        <v>7</v>
      </c>
      <c r="BG248">
        <v>0</v>
      </c>
      <c r="BH248">
        <v>0</v>
      </c>
      <c r="BI248">
        <v>0</v>
      </c>
      <c r="BJ248">
        <v>0</v>
      </c>
      <c r="BK248">
        <v>5</v>
      </c>
      <c r="BL248">
        <v>18.190000000000001</v>
      </c>
      <c r="BM248">
        <v>0</v>
      </c>
      <c r="BN248">
        <v>17.5</v>
      </c>
      <c r="BO248">
        <v>5</v>
      </c>
      <c r="BP248">
        <v>0</v>
      </c>
      <c r="BQ248">
        <v>27.5</v>
      </c>
      <c r="BR248">
        <v>4.8680000000000003</v>
      </c>
      <c r="BS248">
        <v>42</v>
      </c>
      <c r="BU248" s="1">
        <f>AVERAGE(Table9[[#This Row],[1-Jan-21]:[1-Dec-25]])</f>
        <v>14.084300000000001</v>
      </c>
    </row>
    <row r="249" spans="1:73" x14ac:dyDescent="0.55000000000000004">
      <c r="A249">
        <v>248</v>
      </c>
      <c r="B249" t="s">
        <v>71</v>
      </c>
      <c r="C249" t="s">
        <v>72</v>
      </c>
      <c r="D249" t="s">
        <v>73</v>
      </c>
      <c r="E249" t="s">
        <v>89</v>
      </c>
      <c r="F249">
        <v>109155</v>
      </c>
      <c r="G249" t="s">
        <v>375</v>
      </c>
      <c r="H249" t="s">
        <v>76</v>
      </c>
      <c r="I249" t="s">
        <v>80</v>
      </c>
      <c r="J249">
        <v>173.44</v>
      </c>
      <c r="K249">
        <v>50</v>
      </c>
      <c r="L249">
        <v>32</v>
      </c>
      <c r="M249">
        <v>55</v>
      </c>
      <c r="N249">
        <v>21</v>
      </c>
      <c r="O249">
        <v>21</v>
      </c>
      <c r="P249">
        <v>10</v>
      </c>
      <c r="Q249">
        <v>21</v>
      </c>
      <c r="R249">
        <v>29</v>
      </c>
      <c r="S249">
        <v>36</v>
      </c>
      <c r="T249">
        <v>71</v>
      </c>
      <c r="U249">
        <v>18</v>
      </c>
      <c r="V249">
        <v>36</v>
      </c>
      <c r="W249">
        <v>25</v>
      </c>
      <c r="X249">
        <v>7</v>
      </c>
      <c r="Y249">
        <v>90</v>
      </c>
      <c r="Z249">
        <v>128</v>
      </c>
      <c r="AA249">
        <v>52</v>
      </c>
      <c r="AB249">
        <v>67</v>
      </c>
      <c r="AC249">
        <v>28</v>
      </c>
      <c r="AD249">
        <v>18</v>
      </c>
      <c r="AE249">
        <v>6</v>
      </c>
      <c r="AF249">
        <v>38</v>
      </c>
      <c r="AG249">
        <v>16</v>
      </c>
      <c r="AH249">
        <v>5</v>
      </c>
      <c r="AI249">
        <v>56</v>
      </c>
      <c r="AJ249">
        <v>24</v>
      </c>
      <c r="AK249">
        <v>11</v>
      </c>
      <c r="AL249">
        <v>8</v>
      </c>
      <c r="AM249">
        <v>9</v>
      </c>
      <c r="AN249">
        <v>0</v>
      </c>
      <c r="AO249">
        <v>18</v>
      </c>
      <c r="AP249">
        <v>12</v>
      </c>
      <c r="AQ249">
        <v>2</v>
      </c>
      <c r="AR249">
        <v>13</v>
      </c>
      <c r="AS249">
        <v>32</v>
      </c>
      <c r="AT249">
        <v>14</v>
      </c>
      <c r="AU249">
        <v>14</v>
      </c>
      <c r="AV249">
        <v>15</v>
      </c>
      <c r="AW249">
        <v>15</v>
      </c>
      <c r="AX249">
        <v>22</v>
      </c>
      <c r="AY249">
        <v>64</v>
      </c>
      <c r="AZ249">
        <v>16</v>
      </c>
      <c r="BA249">
        <v>30</v>
      </c>
      <c r="BB249">
        <v>29</v>
      </c>
      <c r="BC249">
        <v>98</v>
      </c>
      <c r="BD249">
        <v>35</v>
      </c>
      <c r="BE249">
        <v>19</v>
      </c>
      <c r="BF249">
        <v>47</v>
      </c>
      <c r="BG249">
        <v>40</v>
      </c>
      <c r="BH249">
        <v>29</v>
      </c>
      <c r="BI249">
        <v>2</v>
      </c>
      <c r="BJ249">
        <v>19</v>
      </c>
      <c r="BK249">
        <v>16</v>
      </c>
      <c r="BL249">
        <v>16</v>
      </c>
      <c r="BM249">
        <v>18</v>
      </c>
      <c r="BN249">
        <v>6</v>
      </c>
      <c r="BO249">
        <v>34</v>
      </c>
      <c r="BP249">
        <v>8</v>
      </c>
      <c r="BQ249">
        <v>8</v>
      </c>
      <c r="BR249">
        <v>7</v>
      </c>
      <c r="BS249">
        <v>59</v>
      </c>
      <c r="BU249" s="1">
        <f>AVERAGE(Table9[[#This Row],[1-Jan-21]:[1-Dec-25]])</f>
        <v>28.1</v>
      </c>
    </row>
    <row r="250" spans="1:73" x14ac:dyDescent="0.55000000000000004">
      <c r="A250">
        <v>249</v>
      </c>
      <c r="B250" t="s">
        <v>71</v>
      </c>
      <c r="C250" t="s">
        <v>72</v>
      </c>
      <c r="D250" t="s">
        <v>73</v>
      </c>
      <c r="E250" t="s">
        <v>149</v>
      </c>
      <c r="F250">
        <v>110574</v>
      </c>
      <c r="G250" t="s">
        <v>376</v>
      </c>
      <c r="H250" t="s">
        <v>76</v>
      </c>
      <c r="I250" t="s">
        <v>80</v>
      </c>
      <c r="J250">
        <v>8105.26</v>
      </c>
      <c r="K250">
        <v>3</v>
      </c>
      <c r="L250">
        <v>3</v>
      </c>
      <c r="M250">
        <v>5</v>
      </c>
      <c r="N250">
        <v>4</v>
      </c>
      <c r="O250">
        <v>5</v>
      </c>
      <c r="P250">
        <v>10</v>
      </c>
      <c r="Q250">
        <v>18</v>
      </c>
      <c r="R250">
        <v>2</v>
      </c>
      <c r="S250">
        <v>2</v>
      </c>
      <c r="T250">
        <v>6</v>
      </c>
      <c r="U250">
        <v>5</v>
      </c>
      <c r="V250">
        <v>6</v>
      </c>
      <c r="W250">
        <v>5</v>
      </c>
      <c r="X250">
        <v>3</v>
      </c>
      <c r="Y250">
        <v>3</v>
      </c>
      <c r="Z250">
        <v>3</v>
      </c>
      <c r="AA250">
        <v>8</v>
      </c>
      <c r="AB250">
        <v>13</v>
      </c>
      <c r="AC250">
        <v>7</v>
      </c>
      <c r="AD250">
        <v>14</v>
      </c>
      <c r="AE250">
        <v>5</v>
      </c>
      <c r="AF250">
        <v>7</v>
      </c>
      <c r="AG250">
        <v>5</v>
      </c>
      <c r="AH250">
        <v>4</v>
      </c>
      <c r="AI250">
        <v>3</v>
      </c>
      <c r="AJ250">
        <v>4</v>
      </c>
      <c r="AK250">
        <v>3</v>
      </c>
      <c r="AL250">
        <v>4</v>
      </c>
      <c r="AM250">
        <v>5</v>
      </c>
      <c r="AN250">
        <v>6</v>
      </c>
      <c r="AO250">
        <v>2</v>
      </c>
      <c r="AP250">
        <v>4</v>
      </c>
      <c r="AQ250">
        <v>2</v>
      </c>
      <c r="AR250">
        <v>8</v>
      </c>
      <c r="AS250">
        <v>3</v>
      </c>
      <c r="AT250">
        <v>3</v>
      </c>
      <c r="AU250">
        <v>4</v>
      </c>
      <c r="AV250">
        <v>5</v>
      </c>
      <c r="AW250">
        <v>2</v>
      </c>
      <c r="AX250">
        <v>4</v>
      </c>
      <c r="AY250">
        <v>1</v>
      </c>
      <c r="AZ250">
        <v>4</v>
      </c>
      <c r="BA250">
        <v>4</v>
      </c>
      <c r="BB250">
        <v>1</v>
      </c>
      <c r="BC250">
        <v>6</v>
      </c>
      <c r="BD250">
        <v>3</v>
      </c>
      <c r="BE250">
        <v>4</v>
      </c>
      <c r="BF250">
        <v>5</v>
      </c>
      <c r="BG250">
        <v>3</v>
      </c>
      <c r="BH250">
        <v>2</v>
      </c>
      <c r="BI250">
        <v>2</v>
      </c>
      <c r="BJ250">
        <v>4</v>
      </c>
      <c r="BK250">
        <v>5</v>
      </c>
      <c r="BL250">
        <v>2</v>
      </c>
      <c r="BM250">
        <v>6</v>
      </c>
      <c r="BN250">
        <v>2</v>
      </c>
      <c r="BO250">
        <v>7</v>
      </c>
      <c r="BP250">
        <v>5</v>
      </c>
      <c r="BQ250">
        <v>7</v>
      </c>
      <c r="BR250">
        <v>2</v>
      </c>
      <c r="BS250">
        <v>60</v>
      </c>
      <c r="BU250" s="1">
        <f>AVERAGE(Table9[[#This Row],[1-Jan-21]:[1-Dec-25]])</f>
        <v>4.7166666666666668</v>
      </c>
    </row>
    <row r="251" spans="1:73" x14ac:dyDescent="0.55000000000000004">
      <c r="A251">
        <v>250</v>
      </c>
      <c r="B251" t="s">
        <v>71</v>
      </c>
      <c r="C251" t="s">
        <v>72</v>
      </c>
      <c r="D251" t="s">
        <v>73</v>
      </c>
      <c r="E251" t="s">
        <v>96</v>
      </c>
      <c r="F251">
        <v>195075</v>
      </c>
      <c r="G251" t="s">
        <v>377</v>
      </c>
      <c r="H251" t="s">
        <v>76</v>
      </c>
      <c r="I251" t="s">
        <v>80</v>
      </c>
      <c r="J251">
        <v>602.1</v>
      </c>
      <c r="K251">
        <v>6</v>
      </c>
      <c r="L251">
        <v>0</v>
      </c>
      <c r="M251">
        <v>2</v>
      </c>
      <c r="N251">
        <v>5</v>
      </c>
      <c r="O251">
        <v>10</v>
      </c>
      <c r="P251">
        <v>3</v>
      </c>
      <c r="Q251">
        <v>0</v>
      </c>
      <c r="R251">
        <v>7</v>
      </c>
      <c r="S251">
        <v>8</v>
      </c>
      <c r="T251">
        <v>0</v>
      </c>
      <c r="U251">
        <v>4</v>
      </c>
      <c r="V251">
        <v>1</v>
      </c>
      <c r="W251">
        <v>0</v>
      </c>
      <c r="X251">
        <v>0</v>
      </c>
      <c r="Y251">
        <v>2</v>
      </c>
      <c r="Z251">
        <v>0</v>
      </c>
      <c r="AA251">
        <v>8</v>
      </c>
      <c r="AB251">
        <v>1</v>
      </c>
      <c r="AC251">
        <v>0</v>
      </c>
      <c r="AD251">
        <v>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</v>
      </c>
      <c r="AK251">
        <v>0</v>
      </c>
      <c r="AL251">
        <v>0</v>
      </c>
      <c r="AM251">
        <v>2</v>
      </c>
      <c r="AN251">
        <v>2</v>
      </c>
      <c r="AO251">
        <v>7</v>
      </c>
      <c r="AP251">
        <v>1</v>
      </c>
      <c r="AQ251">
        <v>2</v>
      </c>
      <c r="AR251">
        <v>2</v>
      </c>
      <c r="AS251">
        <v>1</v>
      </c>
      <c r="AT251">
        <v>4</v>
      </c>
      <c r="AU251">
        <v>4</v>
      </c>
      <c r="AV251">
        <v>0</v>
      </c>
      <c r="AW251">
        <v>8</v>
      </c>
      <c r="AX251">
        <v>7</v>
      </c>
      <c r="AY251">
        <v>2</v>
      </c>
      <c r="AZ251">
        <v>4</v>
      </c>
      <c r="BA251">
        <v>2</v>
      </c>
      <c r="BB251">
        <v>0</v>
      </c>
      <c r="BC251">
        <v>4</v>
      </c>
      <c r="BD251">
        <v>4</v>
      </c>
      <c r="BE251">
        <v>2</v>
      </c>
      <c r="BF251">
        <v>2</v>
      </c>
      <c r="BG251">
        <v>6</v>
      </c>
      <c r="BH251">
        <v>0</v>
      </c>
      <c r="BI251">
        <v>3</v>
      </c>
      <c r="BJ251">
        <v>5</v>
      </c>
      <c r="BK251">
        <v>3</v>
      </c>
      <c r="BL251">
        <v>0</v>
      </c>
      <c r="BM251">
        <v>2</v>
      </c>
      <c r="BN251">
        <v>3</v>
      </c>
      <c r="BO251">
        <v>4</v>
      </c>
      <c r="BP251">
        <v>6</v>
      </c>
      <c r="BQ251">
        <v>4</v>
      </c>
      <c r="BR251">
        <v>4</v>
      </c>
      <c r="BS251">
        <v>42</v>
      </c>
      <c r="BU251" s="1">
        <f>AVERAGE(Table9[[#This Row],[1-Jan-21]:[1-Dec-25]])</f>
        <v>2.7</v>
      </c>
    </row>
    <row r="252" spans="1:73" x14ac:dyDescent="0.55000000000000004">
      <c r="A252">
        <v>251</v>
      </c>
      <c r="B252" t="s">
        <v>71</v>
      </c>
      <c r="C252" t="s">
        <v>72</v>
      </c>
      <c r="D252" t="s">
        <v>73</v>
      </c>
      <c r="E252" t="s">
        <v>116</v>
      </c>
      <c r="F252">
        <v>110893</v>
      </c>
      <c r="G252" t="s">
        <v>378</v>
      </c>
      <c r="H252" t="s">
        <v>76</v>
      </c>
      <c r="I252" t="s">
        <v>80</v>
      </c>
      <c r="J252">
        <v>16.989999999999998</v>
      </c>
      <c r="K252">
        <v>22</v>
      </c>
      <c r="L252">
        <v>26</v>
      </c>
      <c r="M252">
        <v>27</v>
      </c>
      <c r="N252">
        <v>37</v>
      </c>
      <c r="O252">
        <v>31</v>
      </c>
      <c r="P252">
        <v>27</v>
      </c>
      <c r="Q252">
        <v>35</v>
      </c>
      <c r="R252">
        <v>51</v>
      </c>
      <c r="S252">
        <v>57</v>
      </c>
      <c r="T252">
        <v>37</v>
      </c>
      <c r="U252">
        <v>65</v>
      </c>
      <c r="V252">
        <v>47</v>
      </c>
      <c r="W252">
        <v>46</v>
      </c>
      <c r="X252">
        <v>22</v>
      </c>
      <c r="Y252">
        <v>23</v>
      </c>
      <c r="Z252">
        <v>30</v>
      </c>
      <c r="AA252">
        <v>35</v>
      </c>
      <c r="AB252">
        <v>19</v>
      </c>
      <c r="AC252">
        <v>1</v>
      </c>
      <c r="AD252">
        <v>4</v>
      </c>
      <c r="AE252">
        <v>6</v>
      </c>
      <c r="AF252">
        <v>16</v>
      </c>
      <c r="AG252">
        <v>18</v>
      </c>
      <c r="AH252">
        <v>38</v>
      </c>
      <c r="AI252">
        <v>28</v>
      </c>
      <c r="AJ252">
        <v>41</v>
      </c>
      <c r="AK252">
        <v>32</v>
      </c>
      <c r="AL252">
        <v>17</v>
      </c>
      <c r="AM252">
        <v>12</v>
      </c>
      <c r="AN252">
        <v>10</v>
      </c>
      <c r="AO252">
        <v>55</v>
      </c>
      <c r="AP252">
        <v>14</v>
      </c>
      <c r="AQ252">
        <v>14</v>
      </c>
      <c r="AR252">
        <v>33</v>
      </c>
      <c r="AS252">
        <v>23</v>
      </c>
      <c r="AT252">
        <v>4</v>
      </c>
      <c r="AU252">
        <v>23</v>
      </c>
      <c r="AV252">
        <v>19</v>
      </c>
      <c r="AW252">
        <v>16</v>
      </c>
      <c r="AX252">
        <v>10</v>
      </c>
      <c r="AY252">
        <v>2</v>
      </c>
      <c r="AZ252">
        <v>21</v>
      </c>
      <c r="BA252">
        <v>27</v>
      </c>
      <c r="BB252">
        <v>20</v>
      </c>
      <c r="BC252">
        <v>25</v>
      </c>
      <c r="BD252">
        <v>33</v>
      </c>
      <c r="BE252">
        <v>55</v>
      </c>
      <c r="BF252">
        <v>28</v>
      </c>
      <c r="BG252">
        <v>21</v>
      </c>
      <c r="BH252">
        <v>14</v>
      </c>
      <c r="BI252">
        <v>17</v>
      </c>
      <c r="BJ252">
        <v>20</v>
      </c>
      <c r="BK252">
        <v>43</v>
      </c>
      <c r="BL252">
        <v>48</v>
      </c>
      <c r="BM252">
        <v>20</v>
      </c>
      <c r="BN252">
        <v>12</v>
      </c>
      <c r="BO252">
        <v>9</v>
      </c>
      <c r="BP252">
        <v>20</v>
      </c>
      <c r="BQ252">
        <v>5</v>
      </c>
      <c r="BR252">
        <v>11</v>
      </c>
      <c r="BS252">
        <v>60</v>
      </c>
      <c r="BU252" s="1">
        <f>AVERAGE(Table9[[#This Row],[1-Jan-21]:[1-Dec-25]])</f>
        <v>25.366666666666667</v>
      </c>
    </row>
    <row r="253" spans="1:73" x14ac:dyDescent="0.55000000000000004">
      <c r="A253">
        <v>252</v>
      </c>
      <c r="B253" t="s">
        <v>71</v>
      </c>
      <c r="C253" t="s">
        <v>72</v>
      </c>
      <c r="D253" t="s">
        <v>73</v>
      </c>
      <c r="E253" t="s">
        <v>116</v>
      </c>
      <c r="F253">
        <v>110907</v>
      </c>
      <c r="G253" t="s">
        <v>379</v>
      </c>
      <c r="H253" t="s">
        <v>76</v>
      </c>
      <c r="I253" t="s">
        <v>80</v>
      </c>
      <c r="J253">
        <v>14.64</v>
      </c>
      <c r="K253">
        <v>46</v>
      </c>
      <c r="L253">
        <v>73</v>
      </c>
      <c r="M253">
        <v>53</v>
      </c>
      <c r="N253">
        <v>30</v>
      </c>
      <c r="O253">
        <v>17</v>
      </c>
      <c r="P253">
        <v>78</v>
      </c>
      <c r="Q253">
        <v>51</v>
      </c>
      <c r="R253">
        <v>56</v>
      </c>
      <c r="S253">
        <v>64</v>
      </c>
      <c r="T253">
        <v>58</v>
      </c>
      <c r="U253">
        <v>63</v>
      </c>
      <c r="V253">
        <v>16</v>
      </c>
      <c r="W253">
        <v>46</v>
      </c>
      <c r="X253">
        <v>48</v>
      </c>
      <c r="Y253">
        <v>73</v>
      </c>
      <c r="Z253">
        <v>55</v>
      </c>
      <c r="AA253">
        <v>51</v>
      </c>
      <c r="AB253">
        <v>21</v>
      </c>
      <c r="AC253">
        <v>5</v>
      </c>
      <c r="AD253">
        <v>2</v>
      </c>
      <c r="AE253">
        <v>33</v>
      </c>
      <c r="AF253">
        <v>37</v>
      </c>
      <c r="AG253">
        <v>26</v>
      </c>
      <c r="AH253">
        <v>17</v>
      </c>
      <c r="AI253">
        <v>37</v>
      </c>
      <c r="AJ253">
        <v>32</v>
      </c>
      <c r="AK253">
        <v>15</v>
      </c>
      <c r="AL253">
        <v>22</v>
      </c>
      <c r="AM253">
        <v>47</v>
      </c>
      <c r="AN253">
        <v>15</v>
      </c>
      <c r="AO253">
        <v>26</v>
      </c>
      <c r="AP253">
        <v>21</v>
      </c>
      <c r="AQ253">
        <v>6</v>
      </c>
      <c r="AR253">
        <v>18</v>
      </c>
      <c r="AS253">
        <v>15</v>
      </c>
      <c r="AT253">
        <v>21</v>
      </c>
      <c r="AU253">
        <v>9</v>
      </c>
      <c r="AV253">
        <v>34</v>
      </c>
      <c r="AW253">
        <v>16</v>
      </c>
      <c r="AX253">
        <v>69</v>
      </c>
      <c r="AY253">
        <v>49</v>
      </c>
      <c r="AZ253">
        <v>67</v>
      </c>
      <c r="BA253">
        <v>40</v>
      </c>
      <c r="BB253">
        <v>16</v>
      </c>
      <c r="BC253">
        <v>19</v>
      </c>
      <c r="BD253">
        <v>66</v>
      </c>
      <c r="BE253">
        <v>44</v>
      </c>
      <c r="BF253">
        <v>5</v>
      </c>
      <c r="BG253">
        <v>8</v>
      </c>
      <c r="BH253">
        <v>19</v>
      </c>
      <c r="BI253">
        <v>59</v>
      </c>
      <c r="BJ253">
        <v>16</v>
      </c>
      <c r="BK253">
        <v>18</v>
      </c>
      <c r="BL253">
        <v>14</v>
      </c>
      <c r="BM253">
        <v>14</v>
      </c>
      <c r="BN253">
        <v>34</v>
      </c>
      <c r="BO253">
        <v>42</v>
      </c>
      <c r="BP253">
        <v>20</v>
      </c>
      <c r="BQ253">
        <v>73</v>
      </c>
      <c r="BR253">
        <v>45</v>
      </c>
      <c r="BS253">
        <v>60</v>
      </c>
      <c r="BU253" s="1">
        <f>AVERAGE(Table9[[#This Row],[1-Jan-21]:[1-Dec-25]])</f>
        <v>34.833333333333336</v>
      </c>
    </row>
    <row r="254" spans="1:73" x14ac:dyDescent="0.55000000000000004">
      <c r="A254">
        <v>253</v>
      </c>
      <c r="B254" t="s">
        <v>71</v>
      </c>
      <c r="C254" t="s">
        <v>72</v>
      </c>
      <c r="D254" t="s">
        <v>73</v>
      </c>
      <c r="E254" t="s">
        <v>111</v>
      </c>
      <c r="F254">
        <v>109859</v>
      </c>
      <c r="G254" t="s">
        <v>380</v>
      </c>
      <c r="H254" t="s">
        <v>76</v>
      </c>
      <c r="I254" t="s">
        <v>105</v>
      </c>
      <c r="J254">
        <v>22</v>
      </c>
      <c r="K254">
        <v>200</v>
      </c>
      <c r="L254">
        <v>80</v>
      </c>
      <c r="M254">
        <v>20</v>
      </c>
      <c r="N254">
        <v>0</v>
      </c>
      <c r="O254">
        <v>0</v>
      </c>
      <c r="P254">
        <v>90</v>
      </c>
      <c r="Q254">
        <v>100</v>
      </c>
      <c r="R254">
        <v>215</v>
      </c>
      <c r="S254">
        <v>775</v>
      </c>
      <c r="T254">
        <v>120</v>
      </c>
      <c r="U254">
        <v>390</v>
      </c>
      <c r="V254">
        <v>262</v>
      </c>
      <c r="W254">
        <v>176</v>
      </c>
      <c r="X254">
        <v>502</v>
      </c>
      <c r="Y254">
        <v>120</v>
      </c>
      <c r="Z254">
        <v>320</v>
      </c>
      <c r="AA254">
        <v>150</v>
      </c>
      <c r="AB254">
        <v>0</v>
      </c>
      <c r="AC254">
        <v>250</v>
      </c>
      <c r="AD254">
        <v>120</v>
      </c>
      <c r="AE254">
        <v>60</v>
      </c>
      <c r="AF254">
        <v>200</v>
      </c>
      <c r="AG254">
        <v>0</v>
      </c>
      <c r="AH254">
        <v>30</v>
      </c>
      <c r="AI254">
        <v>308</v>
      </c>
      <c r="AJ254">
        <v>130</v>
      </c>
      <c r="AK254">
        <v>0</v>
      </c>
      <c r="AL254">
        <v>0</v>
      </c>
      <c r="AM254">
        <v>180</v>
      </c>
      <c r="AN254">
        <v>240</v>
      </c>
      <c r="AO254">
        <v>330</v>
      </c>
      <c r="AP254">
        <v>114</v>
      </c>
      <c r="AQ254">
        <v>40</v>
      </c>
      <c r="AR254">
        <v>25</v>
      </c>
      <c r="AS254">
        <v>108</v>
      </c>
      <c r="AT254">
        <v>110</v>
      </c>
      <c r="AU254">
        <v>105</v>
      </c>
      <c r="AV254">
        <v>95</v>
      </c>
      <c r="AW254">
        <v>206</v>
      </c>
      <c r="AX254">
        <v>140</v>
      </c>
      <c r="AY254">
        <v>320</v>
      </c>
      <c r="AZ254">
        <v>0</v>
      </c>
      <c r="BA254">
        <v>75</v>
      </c>
      <c r="BB254">
        <v>140</v>
      </c>
      <c r="BC254">
        <v>40</v>
      </c>
      <c r="BD254">
        <v>215</v>
      </c>
      <c r="BE254">
        <v>330</v>
      </c>
      <c r="BF254">
        <v>30</v>
      </c>
      <c r="BG254">
        <v>200</v>
      </c>
      <c r="BH254">
        <v>1048</v>
      </c>
      <c r="BI254">
        <v>350</v>
      </c>
      <c r="BJ254">
        <v>0</v>
      </c>
      <c r="BK254">
        <v>0</v>
      </c>
      <c r="BL254">
        <v>130</v>
      </c>
      <c r="BM254">
        <v>50</v>
      </c>
      <c r="BN254">
        <v>0</v>
      </c>
      <c r="BO254">
        <v>15</v>
      </c>
      <c r="BP254">
        <v>0</v>
      </c>
      <c r="BQ254">
        <v>10</v>
      </c>
      <c r="BR254">
        <v>0</v>
      </c>
      <c r="BS254">
        <v>48</v>
      </c>
      <c r="BU254" s="1">
        <f>AVERAGE(Table9[[#This Row],[1-Jan-21]:[1-Dec-25]])</f>
        <v>154.4</v>
      </c>
    </row>
    <row r="255" spans="1:73" x14ac:dyDescent="0.55000000000000004">
      <c r="A255">
        <v>254</v>
      </c>
      <c r="B255" t="s">
        <v>71</v>
      </c>
      <c r="C255" t="s">
        <v>72</v>
      </c>
      <c r="D255" t="s">
        <v>73</v>
      </c>
      <c r="E255" t="s">
        <v>87</v>
      </c>
      <c r="F255">
        <v>107684</v>
      </c>
      <c r="G255" t="s">
        <v>381</v>
      </c>
      <c r="H255" t="s">
        <v>76</v>
      </c>
      <c r="I255" t="s">
        <v>80</v>
      </c>
      <c r="J255">
        <v>20.84</v>
      </c>
      <c r="K255">
        <v>37</v>
      </c>
      <c r="L255">
        <v>50</v>
      </c>
      <c r="M255">
        <v>57</v>
      </c>
      <c r="N255">
        <v>70</v>
      </c>
      <c r="O255">
        <v>71</v>
      </c>
      <c r="P255">
        <v>78</v>
      </c>
      <c r="Q255">
        <v>4</v>
      </c>
      <c r="R255">
        <v>70</v>
      </c>
      <c r="S255">
        <v>91</v>
      </c>
      <c r="T255">
        <v>96</v>
      </c>
      <c r="U255">
        <v>40</v>
      </c>
      <c r="V255">
        <v>116</v>
      </c>
      <c r="W255">
        <v>8</v>
      </c>
      <c r="X255">
        <v>234</v>
      </c>
      <c r="Y255">
        <v>19</v>
      </c>
      <c r="Z255">
        <v>40</v>
      </c>
      <c r="AA255">
        <v>16</v>
      </c>
      <c r="AB255">
        <v>90</v>
      </c>
      <c r="AC255">
        <v>0</v>
      </c>
      <c r="AD255">
        <v>20</v>
      </c>
      <c r="AE255">
        <v>30</v>
      </c>
      <c r="AF255">
        <v>0</v>
      </c>
      <c r="AG255">
        <v>0</v>
      </c>
      <c r="AH255">
        <v>0</v>
      </c>
      <c r="AI255">
        <v>50</v>
      </c>
      <c r="AJ255">
        <v>12</v>
      </c>
      <c r="AK255">
        <v>23</v>
      </c>
      <c r="AL255">
        <v>0</v>
      </c>
      <c r="AM255">
        <v>20</v>
      </c>
      <c r="AN255">
        <v>30</v>
      </c>
      <c r="AO255">
        <v>0</v>
      </c>
      <c r="AP255">
        <v>10</v>
      </c>
      <c r="AQ255">
        <v>0</v>
      </c>
      <c r="AR255">
        <v>10</v>
      </c>
      <c r="AS255">
        <v>0</v>
      </c>
      <c r="AT255">
        <v>4</v>
      </c>
      <c r="AU255">
        <v>0</v>
      </c>
      <c r="AV255">
        <v>0</v>
      </c>
      <c r="AW255">
        <v>20</v>
      </c>
      <c r="AX255">
        <v>8</v>
      </c>
      <c r="AY255">
        <v>18</v>
      </c>
      <c r="AZ255">
        <v>12</v>
      </c>
      <c r="BA255">
        <v>25</v>
      </c>
      <c r="BB255">
        <v>32</v>
      </c>
      <c r="BC255">
        <v>32</v>
      </c>
      <c r="BD255">
        <v>0</v>
      </c>
      <c r="BE255">
        <v>0</v>
      </c>
      <c r="BF255">
        <v>60</v>
      </c>
      <c r="BG255">
        <v>30</v>
      </c>
      <c r="BH255">
        <v>40</v>
      </c>
      <c r="BI255">
        <v>0</v>
      </c>
      <c r="BJ255">
        <v>0</v>
      </c>
      <c r="BK255">
        <v>0</v>
      </c>
      <c r="BL255">
        <v>50</v>
      </c>
      <c r="BM255">
        <v>32</v>
      </c>
      <c r="BN255">
        <v>37</v>
      </c>
      <c r="BO255">
        <v>40</v>
      </c>
      <c r="BP255">
        <v>47</v>
      </c>
      <c r="BQ255">
        <v>40</v>
      </c>
      <c r="BR255">
        <v>0</v>
      </c>
      <c r="BS255">
        <v>44</v>
      </c>
      <c r="BU255" s="1">
        <f>AVERAGE(Table9[[#This Row],[1-Jan-21]:[1-Dec-25]])</f>
        <v>31.983333333333334</v>
      </c>
    </row>
    <row r="256" spans="1:73" x14ac:dyDescent="0.55000000000000004">
      <c r="A256">
        <v>255</v>
      </c>
      <c r="B256" t="s">
        <v>71</v>
      </c>
      <c r="C256" t="s">
        <v>72</v>
      </c>
      <c r="D256" t="s">
        <v>73</v>
      </c>
      <c r="E256" t="s">
        <v>87</v>
      </c>
      <c r="F256">
        <v>107628</v>
      </c>
      <c r="G256" t="s">
        <v>382</v>
      </c>
      <c r="H256" t="s">
        <v>76</v>
      </c>
      <c r="I256" t="s">
        <v>80</v>
      </c>
      <c r="J256">
        <v>24.56</v>
      </c>
      <c r="K256">
        <v>2</v>
      </c>
      <c r="L256">
        <v>8</v>
      </c>
      <c r="M256">
        <v>71</v>
      </c>
      <c r="N256">
        <v>41</v>
      </c>
      <c r="O256">
        <v>10</v>
      </c>
      <c r="P256">
        <v>30</v>
      </c>
      <c r="Q256">
        <v>66</v>
      </c>
      <c r="R256">
        <v>145</v>
      </c>
      <c r="S256">
        <v>109</v>
      </c>
      <c r="T256">
        <v>20</v>
      </c>
      <c r="U256">
        <v>11</v>
      </c>
      <c r="V256">
        <v>200</v>
      </c>
      <c r="W256">
        <v>4</v>
      </c>
      <c r="X256">
        <v>74</v>
      </c>
      <c r="Y256">
        <v>110</v>
      </c>
      <c r="Z256">
        <v>100</v>
      </c>
      <c r="AA256">
        <v>50</v>
      </c>
      <c r="AB256">
        <v>30</v>
      </c>
      <c r="AC256">
        <v>0</v>
      </c>
      <c r="AD256">
        <v>0</v>
      </c>
      <c r="AE256">
        <v>38</v>
      </c>
      <c r="AF256">
        <v>0</v>
      </c>
      <c r="AG256">
        <v>25</v>
      </c>
      <c r="AH256">
        <v>30</v>
      </c>
      <c r="AI256">
        <v>19</v>
      </c>
      <c r="AJ256">
        <v>49</v>
      </c>
      <c r="AK256">
        <v>10</v>
      </c>
      <c r="AL256">
        <v>32</v>
      </c>
      <c r="AM256">
        <v>70</v>
      </c>
      <c r="AN256">
        <v>30</v>
      </c>
      <c r="AO256">
        <v>6</v>
      </c>
      <c r="AP256">
        <v>30</v>
      </c>
      <c r="AQ256">
        <v>12</v>
      </c>
      <c r="AR256">
        <v>10</v>
      </c>
      <c r="AS256">
        <v>0</v>
      </c>
      <c r="AT256">
        <v>30</v>
      </c>
      <c r="AU256">
        <v>0</v>
      </c>
      <c r="AV256">
        <v>0</v>
      </c>
      <c r="AW256">
        <v>51</v>
      </c>
      <c r="AX256">
        <v>70</v>
      </c>
      <c r="AY256">
        <v>0</v>
      </c>
      <c r="AZ256">
        <v>20</v>
      </c>
      <c r="BA256">
        <v>0</v>
      </c>
      <c r="BB256">
        <v>10</v>
      </c>
      <c r="BC256">
        <v>70</v>
      </c>
      <c r="BD256">
        <v>145</v>
      </c>
      <c r="BE256">
        <v>60</v>
      </c>
      <c r="BF256">
        <v>12</v>
      </c>
      <c r="BG256">
        <v>74</v>
      </c>
      <c r="BH256">
        <v>54</v>
      </c>
      <c r="BI256">
        <v>44</v>
      </c>
      <c r="BJ256">
        <v>20</v>
      </c>
      <c r="BK256">
        <v>69</v>
      </c>
      <c r="BL256">
        <v>70</v>
      </c>
      <c r="BM256">
        <v>50</v>
      </c>
      <c r="BN256">
        <v>100</v>
      </c>
      <c r="BO256">
        <v>20</v>
      </c>
      <c r="BP256">
        <v>20</v>
      </c>
      <c r="BQ256">
        <v>0</v>
      </c>
      <c r="BR256">
        <v>12</v>
      </c>
      <c r="BS256">
        <v>51</v>
      </c>
      <c r="BU256" s="1">
        <f>AVERAGE(Table9[[#This Row],[1-Jan-21]:[1-Dec-25]])</f>
        <v>40.716666666666669</v>
      </c>
    </row>
    <row r="257" spans="1:73" x14ac:dyDescent="0.55000000000000004">
      <c r="A257">
        <v>256</v>
      </c>
      <c r="B257" t="s">
        <v>71</v>
      </c>
      <c r="C257" t="s">
        <v>72</v>
      </c>
      <c r="D257" t="s">
        <v>73</v>
      </c>
      <c r="E257" t="s">
        <v>87</v>
      </c>
      <c r="F257">
        <v>107590</v>
      </c>
      <c r="G257" t="s">
        <v>383</v>
      </c>
      <c r="H257" t="s">
        <v>76</v>
      </c>
      <c r="I257" t="s">
        <v>80</v>
      </c>
      <c r="J257">
        <v>11.6</v>
      </c>
      <c r="K257">
        <v>102</v>
      </c>
      <c r="L257">
        <v>188</v>
      </c>
      <c r="M257">
        <v>171</v>
      </c>
      <c r="N257">
        <v>198</v>
      </c>
      <c r="O257">
        <v>156</v>
      </c>
      <c r="P257">
        <v>190</v>
      </c>
      <c r="Q257">
        <v>138</v>
      </c>
      <c r="R257">
        <v>220</v>
      </c>
      <c r="S257">
        <v>381</v>
      </c>
      <c r="T257">
        <v>336</v>
      </c>
      <c r="U257">
        <v>157</v>
      </c>
      <c r="V257">
        <v>95</v>
      </c>
      <c r="W257">
        <v>125</v>
      </c>
      <c r="X257">
        <v>274</v>
      </c>
      <c r="Y257">
        <v>280</v>
      </c>
      <c r="Z257">
        <v>80</v>
      </c>
      <c r="AA257">
        <v>165</v>
      </c>
      <c r="AB257">
        <v>204</v>
      </c>
      <c r="AC257">
        <v>303</v>
      </c>
      <c r="AD257">
        <v>221</v>
      </c>
      <c r="AE257">
        <v>173</v>
      </c>
      <c r="AF257">
        <v>198</v>
      </c>
      <c r="AG257">
        <v>150</v>
      </c>
      <c r="AH257">
        <v>110</v>
      </c>
      <c r="AI257">
        <v>194</v>
      </c>
      <c r="AJ257">
        <v>275</v>
      </c>
      <c r="AK257">
        <v>49</v>
      </c>
      <c r="AL257">
        <v>94</v>
      </c>
      <c r="AM257">
        <v>216</v>
      </c>
      <c r="AN257">
        <v>200</v>
      </c>
      <c r="AO257">
        <v>178</v>
      </c>
      <c r="AP257">
        <v>24</v>
      </c>
      <c r="AQ257">
        <v>79</v>
      </c>
      <c r="AR257">
        <v>229</v>
      </c>
      <c r="AS257">
        <v>85</v>
      </c>
      <c r="AT257">
        <v>282</v>
      </c>
      <c r="AU257">
        <v>98</v>
      </c>
      <c r="AV257">
        <v>192</v>
      </c>
      <c r="AW257">
        <v>198</v>
      </c>
      <c r="AX257">
        <v>35</v>
      </c>
      <c r="AY257">
        <v>94</v>
      </c>
      <c r="AZ257">
        <v>65</v>
      </c>
      <c r="BA257">
        <v>74</v>
      </c>
      <c r="BB257">
        <v>161</v>
      </c>
      <c r="BC257">
        <v>233</v>
      </c>
      <c r="BD257">
        <v>185</v>
      </c>
      <c r="BE257">
        <v>236</v>
      </c>
      <c r="BF257">
        <v>407</v>
      </c>
      <c r="BG257">
        <v>162</v>
      </c>
      <c r="BH257">
        <v>128</v>
      </c>
      <c r="BI257">
        <v>53</v>
      </c>
      <c r="BJ257">
        <v>313</v>
      </c>
      <c r="BK257">
        <v>165</v>
      </c>
      <c r="BL257">
        <v>0</v>
      </c>
      <c r="BM257">
        <v>276</v>
      </c>
      <c r="BN257">
        <v>142</v>
      </c>
      <c r="BO257">
        <v>170</v>
      </c>
      <c r="BP257">
        <v>70</v>
      </c>
      <c r="BQ257">
        <v>40</v>
      </c>
      <c r="BR257">
        <v>130</v>
      </c>
      <c r="BS257">
        <v>59</v>
      </c>
      <c r="BU257" s="1">
        <f>AVERAGE(Table9[[#This Row],[1-Jan-21]:[1-Dec-25]])</f>
        <v>169.11666666666667</v>
      </c>
    </row>
    <row r="258" spans="1:73" x14ac:dyDescent="0.55000000000000004">
      <c r="A258">
        <v>257</v>
      </c>
      <c r="B258" t="s">
        <v>71</v>
      </c>
      <c r="C258" t="s">
        <v>72</v>
      </c>
      <c r="D258" t="s">
        <v>73</v>
      </c>
      <c r="E258" t="s">
        <v>87</v>
      </c>
      <c r="F258">
        <v>107728</v>
      </c>
      <c r="G258" t="s">
        <v>384</v>
      </c>
      <c r="H258" t="s">
        <v>76</v>
      </c>
      <c r="I258" t="s">
        <v>80</v>
      </c>
      <c r="J258">
        <v>46.31</v>
      </c>
      <c r="K258">
        <v>8</v>
      </c>
      <c r="L258">
        <v>6</v>
      </c>
      <c r="M258">
        <v>18</v>
      </c>
      <c r="N258">
        <v>3</v>
      </c>
      <c r="O258">
        <v>20</v>
      </c>
      <c r="P258">
        <v>20</v>
      </c>
      <c r="Q258">
        <v>2</v>
      </c>
      <c r="R258">
        <v>0</v>
      </c>
      <c r="S258">
        <v>6</v>
      </c>
      <c r="T258">
        <v>35</v>
      </c>
      <c r="U258">
        <v>0</v>
      </c>
      <c r="V258">
        <v>34</v>
      </c>
      <c r="W258">
        <v>12</v>
      </c>
      <c r="X258">
        <v>17</v>
      </c>
      <c r="Y258">
        <v>0</v>
      </c>
      <c r="Z258">
        <v>0</v>
      </c>
      <c r="AA258">
        <v>4</v>
      </c>
      <c r="AB258">
        <v>40</v>
      </c>
      <c r="AC258">
        <v>0</v>
      </c>
      <c r="AD258">
        <v>20</v>
      </c>
      <c r="AE258">
        <v>6</v>
      </c>
      <c r="AF258">
        <v>18</v>
      </c>
      <c r="AG258">
        <v>20</v>
      </c>
      <c r="AH258">
        <v>17</v>
      </c>
      <c r="AI258">
        <v>27</v>
      </c>
      <c r="AJ258">
        <v>0</v>
      </c>
      <c r="AK258">
        <v>4</v>
      </c>
      <c r="AL258">
        <v>4</v>
      </c>
      <c r="AM258">
        <v>0</v>
      </c>
      <c r="AN258">
        <v>12</v>
      </c>
      <c r="AO258">
        <v>11</v>
      </c>
      <c r="AP258">
        <v>20</v>
      </c>
      <c r="AQ258">
        <v>20</v>
      </c>
      <c r="AR258">
        <v>2</v>
      </c>
      <c r="AS258">
        <v>1</v>
      </c>
      <c r="AT258">
        <v>4</v>
      </c>
      <c r="AU258">
        <v>19</v>
      </c>
      <c r="AV258">
        <v>12</v>
      </c>
      <c r="AW258">
        <v>25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40</v>
      </c>
      <c r="BD258">
        <v>40</v>
      </c>
      <c r="BE258">
        <v>6</v>
      </c>
      <c r="BF258">
        <v>0</v>
      </c>
      <c r="BG258">
        <v>85</v>
      </c>
      <c r="BH258">
        <v>0</v>
      </c>
      <c r="BI258">
        <v>65</v>
      </c>
      <c r="BJ258">
        <v>6</v>
      </c>
      <c r="BK258">
        <v>0</v>
      </c>
      <c r="BL258">
        <v>0</v>
      </c>
      <c r="BM258">
        <v>44</v>
      </c>
      <c r="BN258">
        <v>16</v>
      </c>
      <c r="BO258">
        <v>4</v>
      </c>
      <c r="BP258">
        <v>0</v>
      </c>
      <c r="BQ258">
        <v>0</v>
      </c>
      <c r="BR258">
        <v>0</v>
      </c>
      <c r="BS258">
        <v>41</v>
      </c>
      <c r="BU258" s="1">
        <f>AVERAGE(Table9[[#This Row],[1-Jan-21]:[1-Dec-25]])</f>
        <v>12.883333333333333</v>
      </c>
    </row>
    <row r="259" spans="1:73" x14ac:dyDescent="0.55000000000000004">
      <c r="A259">
        <v>258</v>
      </c>
      <c r="B259" t="s">
        <v>71</v>
      </c>
      <c r="C259" t="s">
        <v>72</v>
      </c>
      <c r="D259" t="s">
        <v>73</v>
      </c>
      <c r="E259" t="s">
        <v>87</v>
      </c>
      <c r="F259">
        <v>107739</v>
      </c>
      <c r="G259" t="s">
        <v>385</v>
      </c>
      <c r="H259" t="s">
        <v>76</v>
      </c>
      <c r="I259" t="s">
        <v>80</v>
      </c>
      <c r="J259">
        <v>3.47</v>
      </c>
      <c r="K259">
        <v>60</v>
      </c>
      <c r="L259">
        <v>45</v>
      </c>
      <c r="M259">
        <v>10</v>
      </c>
      <c r="N259">
        <v>6</v>
      </c>
      <c r="O259">
        <v>45</v>
      </c>
      <c r="P259">
        <v>110</v>
      </c>
      <c r="Q259">
        <v>10</v>
      </c>
      <c r="R259">
        <v>0</v>
      </c>
      <c r="S259">
        <v>13</v>
      </c>
      <c r="T259">
        <v>20</v>
      </c>
      <c r="U259">
        <v>0</v>
      </c>
      <c r="V259">
        <v>10</v>
      </c>
      <c r="W259">
        <v>35</v>
      </c>
      <c r="X259">
        <v>35</v>
      </c>
      <c r="Y259">
        <v>0</v>
      </c>
      <c r="Z259">
        <v>55</v>
      </c>
      <c r="AA259">
        <v>60</v>
      </c>
      <c r="AB259">
        <v>60</v>
      </c>
      <c r="AC259">
        <v>60</v>
      </c>
      <c r="AD259">
        <v>4</v>
      </c>
      <c r="AE259">
        <v>6</v>
      </c>
      <c r="AF259">
        <v>15</v>
      </c>
      <c r="AG259">
        <v>24</v>
      </c>
      <c r="AH259">
        <v>24</v>
      </c>
      <c r="AI259">
        <v>35</v>
      </c>
      <c r="AJ259">
        <v>21</v>
      </c>
      <c r="AK259">
        <v>15</v>
      </c>
      <c r="AL259">
        <v>14</v>
      </c>
      <c r="AM259">
        <v>10</v>
      </c>
      <c r="AN259">
        <v>21</v>
      </c>
      <c r="AO259">
        <v>14</v>
      </c>
      <c r="AP259">
        <v>19</v>
      </c>
      <c r="AQ259">
        <v>10</v>
      </c>
      <c r="AR259">
        <v>19</v>
      </c>
      <c r="AS259">
        <v>31</v>
      </c>
      <c r="AT259">
        <v>88</v>
      </c>
      <c r="AU259">
        <v>22</v>
      </c>
      <c r="AV259">
        <v>34</v>
      </c>
      <c r="AW259">
        <v>31</v>
      </c>
      <c r="AX259">
        <v>2</v>
      </c>
      <c r="AY259">
        <v>2</v>
      </c>
      <c r="AZ259">
        <v>25</v>
      </c>
      <c r="BA259">
        <v>0</v>
      </c>
      <c r="BB259">
        <v>3</v>
      </c>
      <c r="BC259">
        <v>30</v>
      </c>
      <c r="BD259">
        <v>0</v>
      </c>
      <c r="BE259">
        <v>0</v>
      </c>
      <c r="BF259">
        <v>22</v>
      </c>
      <c r="BG259">
        <v>44</v>
      </c>
      <c r="BH259">
        <v>5</v>
      </c>
      <c r="BI259">
        <v>5</v>
      </c>
      <c r="BJ259">
        <v>0</v>
      </c>
      <c r="BK259">
        <v>0</v>
      </c>
      <c r="BL259">
        <v>8</v>
      </c>
      <c r="BM259">
        <v>16</v>
      </c>
      <c r="BN259">
        <v>20</v>
      </c>
      <c r="BO259">
        <v>0</v>
      </c>
      <c r="BP259">
        <v>50</v>
      </c>
      <c r="BQ259">
        <v>6</v>
      </c>
      <c r="BR259">
        <v>7</v>
      </c>
      <c r="BS259">
        <v>51</v>
      </c>
      <c r="BU259" s="1">
        <f>AVERAGE(Table9[[#This Row],[1-Jan-21]:[1-Dec-25]])</f>
        <v>22.266666666666666</v>
      </c>
    </row>
    <row r="260" spans="1:73" x14ac:dyDescent="0.55000000000000004">
      <c r="A260">
        <v>259</v>
      </c>
      <c r="B260" t="s">
        <v>71</v>
      </c>
      <c r="C260" t="s">
        <v>72</v>
      </c>
      <c r="D260" t="s">
        <v>73</v>
      </c>
      <c r="E260" t="s">
        <v>99</v>
      </c>
      <c r="F260">
        <v>108111</v>
      </c>
      <c r="G260" t="s">
        <v>386</v>
      </c>
      <c r="H260" t="s">
        <v>76</v>
      </c>
      <c r="I260" t="s">
        <v>80</v>
      </c>
      <c r="J260">
        <v>196.8</v>
      </c>
      <c r="K260">
        <v>4</v>
      </c>
      <c r="L260">
        <v>0</v>
      </c>
      <c r="M260">
        <v>6</v>
      </c>
      <c r="N260">
        <v>3</v>
      </c>
      <c r="O260">
        <v>8</v>
      </c>
      <c r="P260">
        <v>10</v>
      </c>
      <c r="Q260">
        <v>14</v>
      </c>
      <c r="R260">
        <v>16</v>
      </c>
      <c r="S260">
        <v>6</v>
      </c>
      <c r="T260">
        <v>18</v>
      </c>
      <c r="U260">
        <v>17</v>
      </c>
      <c r="V260">
        <v>44</v>
      </c>
      <c r="W260">
        <v>37</v>
      </c>
      <c r="X260">
        <v>15</v>
      </c>
      <c r="Y260">
        <v>10</v>
      </c>
      <c r="Z260">
        <v>4</v>
      </c>
      <c r="AA260">
        <v>21</v>
      </c>
      <c r="AB260">
        <v>22</v>
      </c>
      <c r="AC260">
        <v>12</v>
      </c>
      <c r="AD260">
        <v>6</v>
      </c>
      <c r="AE260">
        <v>6</v>
      </c>
      <c r="AF260">
        <v>8</v>
      </c>
      <c r="AG260">
        <v>2</v>
      </c>
      <c r="AH260">
        <v>7</v>
      </c>
      <c r="AI260">
        <v>10</v>
      </c>
      <c r="AJ260">
        <v>4</v>
      </c>
      <c r="AK260">
        <v>3</v>
      </c>
      <c r="AL260">
        <v>7</v>
      </c>
      <c r="AM260">
        <v>6</v>
      </c>
      <c r="AN260">
        <v>3</v>
      </c>
      <c r="AO260">
        <v>0</v>
      </c>
      <c r="AP260">
        <v>8</v>
      </c>
      <c r="AQ260">
        <v>0</v>
      </c>
      <c r="AR260">
        <v>4</v>
      </c>
      <c r="AS260">
        <v>2</v>
      </c>
      <c r="AT260">
        <v>7</v>
      </c>
      <c r="AU260">
        <v>16</v>
      </c>
      <c r="AV260">
        <v>23</v>
      </c>
      <c r="AW260">
        <v>10</v>
      </c>
      <c r="AX260">
        <v>1</v>
      </c>
      <c r="AY260">
        <v>1</v>
      </c>
      <c r="AZ260">
        <v>7</v>
      </c>
      <c r="BA260">
        <v>0</v>
      </c>
      <c r="BB260">
        <v>5</v>
      </c>
      <c r="BC260">
        <v>0</v>
      </c>
      <c r="BD260">
        <v>2</v>
      </c>
      <c r="BE260">
        <v>6</v>
      </c>
      <c r="BF260">
        <v>1</v>
      </c>
      <c r="BG260">
        <v>3</v>
      </c>
      <c r="BH260">
        <v>6</v>
      </c>
      <c r="BI260">
        <v>0</v>
      </c>
      <c r="BJ260">
        <v>1</v>
      </c>
      <c r="BK260">
        <v>2</v>
      </c>
      <c r="BL260">
        <v>3</v>
      </c>
      <c r="BM260">
        <v>0</v>
      </c>
      <c r="BN260">
        <v>2</v>
      </c>
      <c r="BO260">
        <v>0</v>
      </c>
      <c r="BP260">
        <v>0</v>
      </c>
      <c r="BQ260">
        <v>5</v>
      </c>
      <c r="BR260">
        <v>7</v>
      </c>
      <c r="BS260">
        <v>51</v>
      </c>
      <c r="BU260" s="1">
        <f>AVERAGE(Table9[[#This Row],[1-Jan-21]:[1-Dec-25]])</f>
        <v>7.5166666666666666</v>
      </c>
    </row>
    <row r="261" spans="1:73" x14ac:dyDescent="0.55000000000000004">
      <c r="A261">
        <v>260</v>
      </c>
      <c r="B261" t="s">
        <v>71</v>
      </c>
      <c r="C261" t="s">
        <v>72</v>
      </c>
      <c r="D261" t="s">
        <v>73</v>
      </c>
      <c r="E261" t="s">
        <v>134</v>
      </c>
      <c r="F261">
        <v>108522</v>
      </c>
      <c r="G261" t="s">
        <v>387</v>
      </c>
      <c r="H261" t="s">
        <v>76</v>
      </c>
      <c r="I261" t="s">
        <v>80</v>
      </c>
      <c r="J261">
        <v>228.92</v>
      </c>
      <c r="K261">
        <v>8</v>
      </c>
      <c r="L261">
        <v>3</v>
      </c>
      <c r="M261">
        <v>6</v>
      </c>
      <c r="N261">
        <v>7</v>
      </c>
      <c r="O261">
        <v>1</v>
      </c>
      <c r="P261">
        <v>7</v>
      </c>
      <c r="Q261">
        <v>5</v>
      </c>
      <c r="R261">
        <v>2</v>
      </c>
      <c r="S261">
        <v>8</v>
      </c>
      <c r="T261">
        <v>19</v>
      </c>
      <c r="U261">
        <v>13</v>
      </c>
      <c r="V261">
        <v>1</v>
      </c>
      <c r="W261">
        <v>2</v>
      </c>
      <c r="X261">
        <v>1</v>
      </c>
      <c r="Y261">
        <v>0</v>
      </c>
      <c r="Z261">
        <v>2</v>
      </c>
      <c r="AA261">
        <v>4</v>
      </c>
      <c r="AB261">
        <v>0</v>
      </c>
      <c r="AC261">
        <v>2</v>
      </c>
      <c r="AD261">
        <v>2</v>
      </c>
      <c r="AE261">
        <v>0</v>
      </c>
      <c r="AF261">
        <v>3</v>
      </c>
      <c r="AG261">
        <v>1</v>
      </c>
      <c r="AH261">
        <v>3</v>
      </c>
      <c r="AI261">
        <v>4</v>
      </c>
      <c r="AJ261">
        <v>0</v>
      </c>
      <c r="AK261">
        <v>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</v>
      </c>
      <c r="AR261">
        <v>3</v>
      </c>
      <c r="AS261">
        <v>7</v>
      </c>
      <c r="AT261">
        <v>0</v>
      </c>
      <c r="AU261">
        <v>0</v>
      </c>
      <c r="AV261">
        <v>1</v>
      </c>
      <c r="AW261">
        <v>2</v>
      </c>
      <c r="AX261">
        <v>0</v>
      </c>
      <c r="AY261">
        <v>0</v>
      </c>
      <c r="AZ261">
        <v>2</v>
      </c>
      <c r="BA261">
        <v>0</v>
      </c>
      <c r="BB261">
        <v>1</v>
      </c>
      <c r="BC261">
        <v>3</v>
      </c>
      <c r="BD261">
        <v>2</v>
      </c>
      <c r="BE261">
        <v>4</v>
      </c>
      <c r="BF261">
        <v>7</v>
      </c>
      <c r="BG261">
        <v>2</v>
      </c>
      <c r="BH261">
        <v>1</v>
      </c>
      <c r="BI261">
        <v>1</v>
      </c>
      <c r="BJ261">
        <v>2</v>
      </c>
      <c r="BK261">
        <v>2</v>
      </c>
      <c r="BL261">
        <v>4</v>
      </c>
      <c r="BM261">
        <v>0</v>
      </c>
      <c r="BN261">
        <v>2</v>
      </c>
      <c r="BO261">
        <v>3</v>
      </c>
      <c r="BP261">
        <v>2</v>
      </c>
      <c r="BQ261">
        <v>2</v>
      </c>
      <c r="BR261">
        <v>0</v>
      </c>
      <c r="BS261">
        <v>44</v>
      </c>
      <c r="BU261" s="1">
        <f>AVERAGE(Table9[[#This Row],[1-Jan-21]:[1-Dec-25]])</f>
        <v>2.7</v>
      </c>
    </row>
    <row r="262" spans="1:73" x14ac:dyDescent="0.55000000000000004">
      <c r="A262">
        <v>261</v>
      </c>
      <c r="B262" t="s">
        <v>71</v>
      </c>
      <c r="C262" t="s">
        <v>72</v>
      </c>
      <c r="D262" t="s">
        <v>73</v>
      </c>
      <c r="E262" t="s">
        <v>99</v>
      </c>
      <c r="F262">
        <v>108293</v>
      </c>
      <c r="G262" t="s">
        <v>388</v>
      </c>
      <c r="H262" t="s">
        <v>76</v>
      </c>
      <c r="I262" t="s">
        <v>80</v>
      </c>
      <c r="J262">
        <v>162.97</v>
      </c>
      <c r="K262">
        <v>11</v>
      </c>
      <c r="L262">
        <v>37</v>
      </c>
      <c r="M262">
        <v>11</v>
      </c>
      <c r="N262">
        <v>4</v>
      </c>
      <c r="O262">
        <v>2</v>
      </c>
      <c r="P262">
        <v>5</v>
      </c>
      <c r="Q262">
        <v>4</v>
      </c>
      <c r="R262">
        <v>10</v>
      </c>
      <c r="S262">
        <v>6</v>
      </c>
      <c r="T262">
        <v>1</v>
      </c>
      <c r="U262">
        <v>0</v>
      </c>
      <c r="V262">
        <v>23</v>
      </c>
      <c r="W262">
        <v>13</v>
      </c>
      <c r="X262">
        <v>108</v>
      </c>
      <c r="Y262">
        <v>170</v>
      </c>
      <c r="Z262">
        <v>713</v>
      </c>
      <c r="AA262">
        <v>7</v>
      </c>
      <c r="AB262">
        <v>160</v>
      </c>
      <c r="AC262">
        <v>1</v>
      </c>
      <c r="AD262">
        <v>10</v>
      </c>
      <c r="AE262">
        <v>11</v>
      </c>
      <c r="AF262">
        <v>12</v>
      </c>
      <c r="AG262">
        <v>13</v>
      </c>
      <c r="AH262">
        <v>4</v>
      </c>
      <c r="AI262">
        <v>11</v>
      </c>
      <c r="AJ262">
        <v>5</v>
      </c>
      <c r="AK262">
        <v>2</v>
      </c>
      <c r="AL262">
        <v>0</v>
      </c>
      <c r="AM262">
        <v>13</v>
      </c>
      <c r="AN262">
        <v>21</v>
      </c>
      <c r="AO262">
        <v>20</v>
      </c>
      <c r="AP262">
        <v>10</v>
      </c>
      <c r="AQ262">
        <v>7</v>
      </c>
      <c r="AR262">
        <v>5</v>
      </c>
      <c r="AS262">
        <v>4</v>
      </c>
      <c r="AT262">
        <v>28</v>
      </c>
      <c r="AU262">
        <v>52</v>
      </c>
      <c r="AV262">
        <v>5</v>
      </c>
      <c r="AW262">
        <v>6</v>
      </c>
      <c r="AX262">
        <v>26</v>
      </c>
      <c r="AY262">
        <v>44</v>
      </c>
      <c r="AZ262">
        <v>28</v>
      </c>
      <c r="BA262">
        <v>8</v>
      </c>
      <c r="BB262">
        <v>0</v>
      </c>
      <c r="BC262">
        <v>0</v>
      </c>
      <c r="BD262">
        <v>4</v>
      </c>
      <c r="BE262">
        <v>15</v>
      </c>
      <c r="BF262">
        <v>4</v>
      </c>
      <c r="BG262">
        <v>19</v>
      </c>
      <c r="BH262">
        <v>10</v>
      </c>
      <c r="BI262">
        <v>41</v>
      </c>
      <c r="BJ262">
        <v>29</v>
      </c>
      <c r="BK262">
        <v>2</v>
      </c>
      <c r="BL262">
        <v>0</v>
      </c>
      <c r="BM262">
        <v>17</v>
      </c>
      <c r="BN262">
        <v>3</v>
      </c>
      <c r="BO262">
        <v>4</v>
      </c>
      <c r="BP262">
        <v>6</v>
      </c>
      <c r="BQ262">
        <v>2</v>
      </c>
      <c r="BR262">
        <v>0</v>
      </c>
      <c r="BS262">
        <v>54</v>
      </c>
      <c r="BU262" s="1">
        <f>AVERAGE(Table9[[#This Row],[1-Jan-21]:[1-Dec-25]])</f>
        <v>29.783333333333335</v>
      </c>
    </row>
    <row r="263" spans="1:73" x14ac:dyDescent="0.55000000000000004">
      <c r="A263">
        <v>262</v>
      </c>
      <c r="B263" t="s">
        <v>71</v>
      </c>
      <c r="C263" t="s">
        <v>72</v>
      </c>
      <c r="D263" t="s">
        <v>73</v>
      </c>
      <c r="E263" t="s">
        <v>149</v>
      </c>
      <c r="F263">
        <v>110572</v>
      </c>
      <c r="G263" t="s">
        <v>389</v>
      </c>
      <c r="H263" t="s">
        <v>76</v>
      </c>
      <c r="I263" t="s">
        <v>80</v>
      </c>
      <c r="J263">
        <v>11000</v>
      </c>
      <c r="K263">
        <v>4</v>
      </c>
      <c r="L263">
        <v>3</v>
      </c>
      <c r="M263">
        <v>6</v>
      </c>
      <c r="N263">
        <v>3</v>
      </c>
      <c r="O263">
        <v>3</v>
      </c>
      <c r="P263">
        <v>3</v>
      </c>
      <c r="Q263">
        <v>3</v>
      </c>
      <c r="R263">
        <v>2</v>
      </c>
      <c r="S263">
        <v>5</v>
      </c>
      <c r="T263">
        <v>3</v>
      </c>
      <c r="U263">
        <v>7</v>
      </c>
      <c r="V263">
        <v>5</v>
      </c>
      <c r="W263">
        <v>6</v>
      </c>
      <c r="X263">
        <v>3</v>
      </c>
      <c r="Y263">
        <v>1</v>
      </c>
      <c r="Z263">
        <v>1</v>
      </c>
      <c r="AA263">
        <v>3</v>
      </c>
      <c r="AB263">
        <v>5</v>
      </c>
      <c r="AC263">
        <v>2</v>
      </c>
      <c r="AD263">
        <v>1</v>
      </c>
      <c r="AE263">
        <v>1</v>
      </c>
      <c r="AF263">
        <v>0</v>
      </c>
      <c r="AG263">
        <v>3</v>
      </c>
      <c r="AH263">
        <v>6</v>
      </c>
      <c r="AI263">
        <v>2</v>
      </c>
      <c r="AJ263">
        <v>2</v>
      </c>
      <c r="AK263">
        <v>1</v>
      </c>
      <c r="AL263">
        <v>2</v>
      </c>
      <c r="AM263">
        <v>1</v>
      </c>
      <c r="AN263">
        <v>3</v>
      </c>
      <c r="AO263">
        <v>2</v>
      </c>
      <c r="AP263">
        <v>1</v>
      </c>
      <c r="AQ263">
        <v>2</v>
      </c>
      <c r="AR263">
        <v>1</v>
      </c>
      <c r="AS263">
        <v>0</v>
      </c>
      <c r="AT263">
        <v>2</v>
      </c>
      <c r="AU263">
        <v>4</v>
      </c>
      <c r="AV263">
        <v>2</v>
      </c>
      <c r="AW263">
        <v>3</v>
      </c>
      <c r="AX263">
        <v>2</v>
      </c>
      <c r="AY263">
        <v>3</v>
      </c>
      <c r="AZ263">
        <v>0</v>
      </c>
      <c r="BA263">
        <v>5</v>
      </c>
      <c r="BB263">
        <v>0</v>
      </c>
      <c r="BC263">
        <v>0</v>
      </c>
      <c r="BD263">
        <v>2</v>
      </c>
      <c r="BE263">
        <v>1</v>
      </c>
      <c r="BF263">
        <v>4</v>
      </c>
      <c r="BG263">
        <v>4</v>
      </c>
      <c r="BH263">
        <v>0</v>
      </c>
      <c r="BI263">
        <v>1</v>
      </c>
      <c r="BJ263">
        <v>1</v>
      </c>
      <c r="BK263">
        <v>4</v>
      </c>
      <c r="BL263">
        <v>0</v>
      </c>
      <c r="BM263">
        <v>1</v>
      </c>
      <c r="BN263">
        <v>3</v>
      </c>
      <c r="BO263">
        <v>5</v>
      </c>
      <c r="BP263">
        <v>1</v>
      </c>
      <c r="BQ263">
        <v>5</v>
      </c>
      <c r="BR263">
        <v>2</v>
      </c>
      <c r="BS263">
        <v>53</v>
      </c>
      <c r="BU263" s="1">
        <f>AVERAGE(Table9[[#This Row],[1-Jan-21]:[1-Dec-25]])</f>
        <v>2.5166666666666666</v>
      </c>
    </row>
    <row r="264" spans="1:73" x14ac:dyDescent="0.55000000000000004">
      <c r="A264">
        <v>263</v>
      </c>
      <c r="B264" t="s">
        <v>71</v>
      </c>
      <c r="C264" t="s">
        <v>72</v>
      </c>
      <c r="D264" t="s">
        <v>73</v>
      </c>
      <c r="E264" t="s">
        <v>99</v>
      </c>
      <c r="F264">
        <v>107874</v>
      </c>
      <c r="G264" t="s">
        <v>390</v>
      </c>
      <c r="H264" t="s">
        <v>76</v>
      </c>
      <c r="I264" t="s">
        <v>80</v>
      </c>
      <c r="J264">
        <v>1242.07</v>
      </c>
      <c r="K264">
        <v>25</v>
      </c>
      <c r="L264">
        <v>50</v>
      </c>
      <c r="M264">
        <v>30</v>
      </c>
      <c r="N264">
        <v>24</v>
      </c>
      <c r="O264">
        <v>38</v>
      </c>
      <c r="P264">
        <v>28</v>
      </c>
      <c r="Q264">
        <v>26</v>
      </c>
      <c r="R264">
        <v>25</v>
      </c>
      <c r="S264">
        <v>51</v>
      </c>
      <c r="T264">
        <v>23</v>
      </c>
      <c r="U264">
        <v>28</v>
      </c>
      <c r="V264">
        <v>43</v>
      </c>
      <c r="W264">
        <v>41</v>
      </c>
      <c r="X264">
        <v>47</v>
      </c>
      <c r="Y264">
        <v>39</v>
      </c>
      <c r="Z264">
        <v>20</v>
      </c>
      <c r="AA264">
        <v>10</v>
      </c>
      <c r="AB264">
        <v>31</v>
      </c>
      <c r="AC264">
        <v>19</v>
      </c>
      <c r="AD264">
        <v>7</v>
      </c>
      <c r="AE264">
        <v>9</v>
      </c>
      <c r="AF264">
        <v>15</v>
      </c>
      <c r="AG264">
        <v>4</v>
      </c>
      <c r="AH264">
        <v>26</v>
      </c>
      <c r="AI264">
        <v>23</v>
      </c>
      <c r="AJ264">
        <v>15</v>
      </c>
      <c r="AK264">
        <v>25</v>
      </c>
      <c r="AL264">
        <v>12</v>
      </c>
      <c r="AM264">
        <v>23</v>
      </c>
      <c r="AN264">
        <v>24</v>
      </c>
      <c r="AO264">
        <v>19</v>
      </c>
      <c r="AP264">
        <v>7</v>
      </c>
      <c r="AQ264">
        <v>5</v>
      </c>
      <c r="AR264">
        <v>19</v>
      </c>
      <c r="AS264">
        <v>16</v>
      </c>
      <c r="AT264">
        <v>12</v>
      </c>
      <c r="AU264">
        <v>34</v>
      </c>
      <c r="AV264">
        <v>11</v>
      </c>
      <c r="AW264">
        <v>14</v>
      </c>
      <c r="AX264">
        <v>25</v>
      </c>
      <c r="AY264">
        <v>15</v>
      </c>
      <c r="AZ264">
        <v>18</v>
      </c>
      <c r="BA264">
        <v>4</v>
      </c>
      <c r="BB264">
        <v>8</v>
      </c>
      <c r="BC264">
        <v>7</v>
      </c>
      <c r="BD264">
        <v>23</v>
      </c>
      <c r="BE264">
        <v>8</v>
      </c>
      <c r="BF264">
        <v>24</v>
      </c>
      <c r="BG264">
        <v>19</v>
      </c>
      <c r="BH264">
        <v>38</v>
      </c>
      <c r="BI264">
        <v>29</v>
      </c>
      <c r="BJ264">
        <v>28</v>
      </c>
      <c r="BK264">
        <v>18</v>
      </c>
      <c r="BL264">
        <v>7</v>
      </c>
      <c r="BM264">
        <v>28</v>
      </c>
      <c r="BN264">
        <v>11</v>
      </c>
      <c r="BO264">
        <v>19</v>
      </c>
      <c r="BP264">
        <v>0</v>
      </c>
      <c r="BQ264">
        <v>13</v>
      </c>
      <c r="BR264">
        <v>8</v>
      </c>
      <c r="BS264">
        <v>59</v>
      </c>
      <c r="BU264" s="1">
        <f>AVERAGE(Table9[[#This Row],[1-Jan-21]:[1-Dec-25]])</f>
        <v>21.133333333333333</v>
      </c>
    </row>
    <row r="265" spans="1:73" x14ac:dyDescent="0.55000000000000004">
      <c r="A265">
        <v>264</v>
      </c>
      <c r="B265" t="s">
        <v>71</v>
      </c>
      <c r="C265" t="s">
        <v>72</v>
      </c>
      <c r="D265" t="s">
        <v>73</v>
      </c>
      <c r="E265" t="s">
        <v>134</v>
      </c>
      <c r="F265">
        <v>108413</v>
      </c>
      <c r="G265" t="s">
        <v>391</v>
      </c>
      <c r="H265" t="s">
        <v>76</v>
      </c>
      <c r="I265" t="s">
        <v>80</v>
      </c>
      <c r="J265">
        <v>184.61</v>
      </c>
      <c r="K265">
        <v>4</v>
      </c>
      <c r="L265">
        <v>3</v>
      </c>
      <c r="M265">
        <v>6</v>
      </c>
      <c r="N265">
        <v>5</v>
      </c>
      <c r="O265">
        <v>1</v>
      </c>
      <c r="P265">
        <v>13</v>
      </c>
      <c r="Q265">
        <v>1</v>
      </c>
      <c r="R265">
        <v>3</v>
      </c>
      <c r="S265">
        <v>2</v>
      </c>
      <c r="T265">
        <v>5</v>
      </c>
      <c r="U265">
        <v>7</v>
      </c>
      <c r="V265">
        <v>4</v>
      </c>
      <c r="W265">
        <v>9</v>
      </c>
      <c r="X265">
        <v>4</v>
      </c>
      <c r="Y265">
        <v>0</v>
      </c>
      <c r="Z265">
        <v>0</v>
      </c>
      <c r="AA265">
        <v>6</v>
      </c>
      <c r="AB265">
        <v>5</v>
      </c>
      <c r="AC265">
        <v>1</v>
      </c>
      <c r="AD265">
        <v>0</v>
      </c>
      <c r="AE265">
        <v>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4</v>
      </c>
      <c r="AT265">
        <v>1</v>
      </c>
      <c r="AU265">
        <v>6</v>
      </c>
      <c r="AV265">
        <v>4</v>
      </c>
      <c r="AW265">
        <v>8</v>
      </c>
      <c r="AX265">
        <v>7</v>
      </c>
      <c r="AY265">
        <v>3</v>
      </c>
      <c r="AZ265">
        <v>0</v>
      </c>
      <c r="BA265">
        <v>7</v>
      </c>
      <c r="BB265">
        <v>2</v>
      </c>
      <c r="BC265">
        <v>0</v>
      </c>
      <c r="BD265">
        <v>1</v>
      </c>
      <c r="BE265">
        <v>7</v>
      </c>
      <c r="BF265">
        <v>5</v>
      </c>
      <c r="BG265">
        <v>5</v>
      </c>
      <c r="BH265">
        <v>4</v>
      </c>
      <c r="BI265">
        <v>2</v>
      </c>
      <c r="BJ265">
        <v>4</v>
      </c>
      <c r="BK265">
        <v>4</v>
      </c>
      <c r="BL265">
        <v>0</v>
      </c>
      <c r="BM265">
        <v>2</v>
      </c>
      <c r="BN265">
        <v>2</v>
      </c>
      <c r="BO265">
        <v>2</v>
      </c>
      <c r="BP265">
        <v>0</v>
      </c>
      <c r="BQ265">
        <v>0</v>
      </c>
      <c r="BR265">
        <v>0</v>
      </c>
      <c r="BS265">
        <v>40</v>
      </c>
      <c r="BU265" s="1">
        <f>AVERAGE(Table9[[#This Row],[1-Jan-21]:[1-Dec-25]])</f>
        <v>2.75</v>
      </c>
    </row>
    <row r="266" spans="1:73" x14ac:dyDescent="0.55000000000000004">
      <c r="A266">
        <v>265</v>
      </c>
      <c r="B266" t="s">
        <v>71</v>
      </c>
      <c r="C266" t="s">
        <v>72</v>
      </c>
      <c r="D266" t="s">
        <v>73</v>
      </c>
      <c r="E266" t="s">
        <v>89</v>
      </c>
      <c r="F266">
        <v>148707</v>
      </c>
      <c r="G266" t="s">
        <v>392</v>
      </c>
      <c r="H266" t="s">
        <v>76</v>
      </c>
      <c r="I266" t="s">
        <v>80</v>
      </c>
      <c r="J266">
        <v>121.57</v>
      </c>
      <c r="K266">
        <v>0</v>
      </c>
      <c r="L266">
        <v>4</v>
      </c>
      <c r="M266">
        <v>4</v>
      </c>
      <c r="N266">
        <v>4</v>
      </c>
      <c r="O266">
        <v>4</v>
      </c>
      <c r="P266">
        <v>0</v>
      </c>
      <c r="Q266">
        <v>10</v>
      </c>
      <c r="R266">
        <v>4</v>
      </c>
      <c r="S266">
        <v>0</v>
      </c>
      <c r="T266">
        <v>8</v>
      </c>
      <c r="U266">
        <v>6</v>
      </c>
      <c r="V266">
        <v>8</v>
      </c>
      <c r="W266">
        <v>8</v>
      </c>
      <c r="X266">
        <v>0</v>
      </c>
      <c r="Y266">
        <v>4</v>
      </c>
      <c r="Z266">
        <v>4</v>
      </c>
      <c r="AA266">
        <v>6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2</v>
      </c>
      <c r="AH266">
        <v>2</v>
      </c>
      <c r="AI266">
        <v>6</v>
      </c>
      <c r="AJ266">
        <v>5</v>
      </c>
      <c r="AK266">
        <v>0</v>
      </c>
      <c r="AL266">
        <v>6</v>
      </c>
      <c r="AM266">
        <v>4</v>
      </c>
      <c r="AN266">
        <v>2</v>
      </c>
      <c r="AO266">
        <v>0</v>
      </c>
      <c r="AP266">
        <v>2</v>
      </c>
      <c r="AQ266">
        <v>2</v>
      </c>
      <c r="AR266">
        <v>6</v>
      </c>
      <c r="AS266">
        <v>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</v>
      </c>
      <c r="BA266">
        <v>0</v>
      </c>
      <c r="BB266">
        <v>2</v>
      </c>
      <c r="BC266">
        <v>1</v>
      </c>
      <c r="BD266">
        <v>8</v>
      </c>
      <c r="BE266">
        <v>0</v>
      </c>
      <c r="BF266">
        <v>6</v>
      </c>
      <c r="BG266">
        <v>0</v>
      </c>
      <c r="BH266">
        <v>6</v>
      </c>
      <c r="BI266">
        <v>2</v>
      </c>
      <c r="BJ266">
        <v>1</v>
      </c>
      <c r="BK266">
        <v>1</v>
      </c>
      <c r="BL266">
        <v>2</v>
      </c>
      <c r="BM266">
        <v>0</v>
      </c>
      <c r="BN266">
        <v>0</v>
      </c>
      <c r="BO266">
        <v>6</v>
      </c>
      <c r="BP266">
        <v>7</v>
      </c>
      <c r="BQ266">
        <v>5</v>
      </c>
      <c r="BR266">
        <v>10</v>
      </c>
      <c r="BS266">
        <v>40</v>
      </c>
      <c r="BU266" s="1">
        <f>AVERAGE(Table9[[#This Row],[1-Jan-21]:[1-Dec-25]])</f>
        <v>2.9666666666666668</v>
      </c>
    </row>
    <row r="267" spans="1:73" x14ac:dyDescent="0.55000000000000004">
      <c r="A267">
        <v>266</v>
      </c>
      <c r="B267" t="s">
        <v>71</v>
      </c>
      <c r="C267" t="s">
        <v>72</v>
      </c>
      <c r="D267" t="s">
        <v>73</v>
      </c>
      <c r="E267" t="s">
        <v>393</v>
      </c>
      <c r="F267">
        <v>118914</v>
      </c>
      <c r="G267" t="s">
        <v>394</v>
      </c>
      <c r="H267" t="s">
        <v>76</v>
      </c>
      <c r="I267" t="s">
        <v>77</v>
      </c>
      <c r="J267">
        <v>325.32</v>
      </c>
      <c r="K267">
        <v>0</v>
      </c>
      <c r="L267">
        <v>39</v>
      </c>
      <c r="M267">
        <v>10</v>
      </c>
      <c r="N267">
        <v>0</v>
      </c>
      <c r="O267">
        <v>28.92</v>
      </c>
      <c r="P267">
        <v>7</v>
      </c>
      <c r="Q267">
        <v>3</v>
      </c>
      <c r="R267">
        <v>30</v>
      </c>
      <c r="S267">
        <v>2</v>
      </c>
      <c r="T267">
        <v>32</v>
      </c>
      <c r="U267">
        <v>3</v>
      </c>
      <c r="V267">
        <v>15</v>
      </c>
      <c r="W267">
        <v>54</v>
      </c>
      <c r="X267">
        <v>10</v>
      </c>
      <c r="Y267">
        <v>0</v>
      </c>
      <c r="Z267">
        <v>14.252000000000001</v>
      </c>
      <c r="AA267">
        <v>4.5</v>
      </c>
      <c r="AB267">
        <v>1</v>
      </c>
      <c r="AC267">
        <v>59</v>
      </c>
      <c r="AD267">
        <v>0</v>
      </c>
      <c r="AE267">
        <v>12</v>
      </c>
      <c r="AF267">
        <v>0</v>
      </c>
      <c r="AG267">
        <v>11</v>
      </c>
      <c r="AH267">
        <v>0</v>
      </c>
      <c r="AI267">
        <v>8.6999999999999993</v>
      </c>
      <c r="AJ267">
        <v>0</v>
      </c>
      <c r="AK267">
        <v>19.579999999999998</v>
      </c>
      <c r="AL267">
        <v>6</v>
      </c>
      <c r="AM267">
        <v>11.64</v>
      </c>
      <c r="AN267">
        <v>19.760000000000002</v>
      </c>
      <c r="AO267">
        <v>1.6</v>
      </c>
      <c r="AP267">
        <v>5</v>
      </c>
      <c r="AQ267">
        <v>5</v>
      </c>
      <c r="AR267">
        <v>13.92</v>
      </c>
      <c r="AS267">
        <v>12.6</v>
      </c>
      <c r="AT267">
        <v>11</v>
      </c>
      <c r="AU267">
        <v>0</v>
      </c>
      <c r="AV267">
        <v>12.5</v>
      </c>
      <c r="AW267">
        <v>22.76</v>
      </c>
      <c r="AX267">
        <v>10</v>
      </c>
      <c r="AY267">
        <v>12.2</v>
      </c>
      <c r="AZ267">
        <v>12.6</v>
      </c>
      <c r="BA267">
        <v>11.724</v>
      </c>
      <c r="BB267">
        <v>20.393999999999998</v>
      </c>
      <c r="BC267">
        <v>0</v>
      </c>
      <c r="BD267">
        <v>10</v>
      </c>
      <c r="BE267">
        <v>15</v>
      </c>
      <c r="BF267">
        <v>0</v>
      </c>
      <c r="BG267">
        <v>12</v>
      </c>
      <c r="BH267">
        <v>0</v>
      </c>
      <c r="BI267">
        <v>0</v>
      </c>
      <c r="BJ267">
        <v>7</v>
      </c>
      <c r="BK267">
        <v>22.346</v>
      </c>
      <c r="BL267">
        <v>13.2</v>
      </c>
      <c r="BM267">
        <v>0</v>
      </c>
      <c r="BN267">
        <v>0</v>
      </c>
      <c r="BO267">
        <v>6</v>
      </c>
      <c r="BP267">
        <v>0</v>
      </c>
      <c r="BQ267">
        <v>13.5</v>
      </c>
      <c r="BR267">
        <v>0</v>
      </c>
      <c r="BS267">
        <v>44</v>
      </c>
      <c r="BU267" s="1">
        <f>AVERAGE(Table9[[#This Row],[1-Jan-21]:[1-Dec-25]])</f>
        <v>10.861600000000003</v>
      </c>
    </row>
    <row r="268" spans="1:73" x14ac:dyDescent="0.55000000000000004">
      <c r="A268">
        <v>267</v>
      </c>
      <c r="B268" t="s">
        <v>71</v>
      </c>
      <c r="C268" t="s">
        <v>72</v>
      </c>
      <c r="D268" t="s">
        <v>73</v>
      </c>
      <c r="E268" t="s">
        <v>395</v>
      </c>
      <c r="F268">
        <v>111102</v>
      </c>
      <c r="G268" t="s">
        <v>396</v>
      </c>
      <c r="H268" t="s">
        <v>76</v>
      </c>
      <c r="I268" t="s">
        <v>80</v>
      </c>
      <c r="J268">
        <v>13.89</v>
      </c>
      <c r="K268">
        <v>0</v>
      </c>
      <c r="L268">
        <v>30</v>
      </c>
      <c r="M268">
        <v>70</v>
      </c>
      <c r="N268">
        <v>0</v>
      </c>
      <c r="O268">
        <v>0</v>
      </c>
      <c r="P268">
        <v>100</v>
      </c>
      <c r="Q268">
        <v>50</v>
      </c>
      <c r="R268">
        <v>80</v>
      </c>
      <c r="S268">
        <v>80</v>
      </c>
      <c r="T268">
        <v>100</v>
      </c>
      <c r="U268">
        <v>75</v>
      </c>
      <c r="V268">
        <v>30</v>
      </c>
      <c r="W268">
        <v>0</v>
      </c>
      <c r="X268">
        <v>110</v>
      </c>
      <c r="Y268">
        <v>160</v>
      </c>
      <c r="Z268">
        <v>125</v>
      </c>
      <c r="AA268">
        <v>110</v>
      </c>
      <c r="AB268">
        <v>50</v>
      </c>
      <c r="AC268">
        <v>80</v>
      </c>
      <c r="AD268">
        <v>0</v>
      </c>
      <c r="AE268">
        <v>30</v>
      </c>
      <c r="AF268">
        <v>60</v>
      </c>
      <c r="AG268">
        <v>30</v>
      </c>
      <c r="AH268">
        <v>0</v>
      </c>
      <c r="AI268">
        <v>60</v>
      </c>
      <c r="AJ268">
        <v>30</v>
      </c>
      <c r="AK268">
        <v>44</v>
      </c>
      <c r="AL268">
        <v>11</v>
      </c>
      <c r="AM268">
        <v>59</v>
      </c>
      <c r="AN268">
        <v>46</v>
      </c>
      <c r="AO268">
        <v>65</v>
      </c>
      <c r="AP268">
        <v>93</v>
      </c>
      <c r="AQ268">
        <v>60</v>
      </c>
      <c r="AR268">
        <v>50</v>
      </c>
      <c r="AS268">
        <v>45</v>
      </c>
      <c r="AT268">
        <v>30</v>
      </c>
      <c r="AU268">
        <v>39</v>
      </c>
      <c r="AV268">
        <v>48</v>
      </c>
      <c r="AW268">
        <v>60</v>
      </c>
      <c r="AX268">
        <v>48</v>
      </c>
      <c r="AY268">
        <v>80</v>
      </c>
      <c r="AZ268">
        <v>35</v>
      </c>
      <c r="BA268">
        <v>32</v>
      </c>
      <c r="BB268">
        <v>40</v>
      </c>
      <c r="BC268">
        <v>0</v>
      </c>
      <c r="BD268">
        <v>20</v>
      </c>
      <c r="BE268">
        <v>0</v>
      </c>
      <c r="BF268">
        <v>15</v>
      </c>
      <c r="BG268">
        <v>20</v>
      </c>
      <c r="BH268">
        <v>0</v>
      </c>
      <c r="BI268">
        <v>20</v>
      </c>
      <c r="BJ268">
        <v>0</v>
      </c>
      <c r="BK268">
        <v>20</v>
      </c>
      <c r="BL268">
        <v>0</v>
      </c>
      <c r="BM268">
        <v>0</v>
      </c>
      <c r="BN268">
        <v>0</v>
      </c>
      <c r="BO268">
        <v>25</v>
      </c>
      <c r="BP268">
        <v>30</v>
      </c>
      <c r="BQ268">
        <v>15</v>
      </c>
      <c r="BR268">
        <v>40</v>
      </c>
      <c r="BS268">
        <v>47</v>
      </c>
      <c r="BU268" s="1">
        <f>AVERAGE(Table9[[#This Row],[1-Jan-21]:[1-Dec-25]])</f>
        <v>42.5</v>
      </c>
    </row>
    <row r="269" spans="1:73" x14ac:dyDescent="0.55000000000000004">
      <c r="A269">
        <v>268</v>
      </c>
      <c r="B269" t="s">
        <v>71</v>
      </c>
      <c r="C269" t="s">
        <v>72</v>
      </c>
      <c r="D269" t="s">
        <v>73</v>
      </c>
      <c r="E269" t="s">
        <v>180</v>
      </c>
      <c r="F269">
        <v>129455</v>
      </c>
      <c r="G269" t="s">
        <v>397</v>
      </c>
      <c r="H269" t="s">
        <v>76</v>
      </c>
      <c r="I269" t="s">
        <v>105</v>
      </c>
      <c r="J269">
        <v>24.05</v>
      </c>
      <c r="K269">
        <v>0</v>
      </c>
      <c r="L269">
        <v>100</v>
      </c>
      <c r="M269">
        <v>400</v>
      </c>
      <c r="N269">
        <v>300</v>
      </c>
      <c r="O269">
        <v>1972</v>
      </c>
      <c r="P269">
        <v>418</v>
      </c>
      <c r="Q269">
        <v>0</v>
      </c>
      <c r="R269">
        <v>206</v>
      </c>
      <c r="S269">
        <v>60</v>
      </c>
      <c r="T269">
        <v>516</v>
      </c>
      <c r="U269">
        <v>436</v>
      </c>
      <c r="V269">
        <v>516</v>
      </c>
      <c r="W269">
        <v>220</v>
      </c>
      <c r="X269">
        <v>348</v>
      </c>
      <c r="Y269">
        <v>138</v>
      </c>
      <c r="Z269">
        <v>974</v>
      </c>
      <c r="AA269">
        <v>338</v>
      </c>
      <c r="AB269">
        <v>390</v>
      </c>
      <c r="AC269">
        <v>48</v>
      </c>
      <c r="AD269">
        <v>96</v>
      </c>
      <c r="AE269">
        <v>232</v>
      </c>
      <c r="AF269">
        <v>150</v>
      </c>
      <c r="AG269">
        <v>48</v>
      </c>
      <c r="AH269">
        <v>0</v>
      </c>
      <c r="AI269">
        <v>0</v>
      </c>
      <c r="AJ269">
        <v>0</v>
      </c>
      <c r="AK269">
        <v>100</v>
      </c>
      <c r="AL269">
        <v>50</v>
      </c>
      <c r="AM269">
        <v>24</v>
      </c>
      <c r="AN269">
        <v>24</v>
      </c>
      <c r="AO269">
        <v>74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174</v>
      </c>
      <c r="AW269">
        <v>50</v>
      </c>
      <c r="AX269">
        <v>160</v>
      </c>
      <c r="AY269">
        <v>264</v>
      </c>
      <c r="AZ269">
        <v>280</v>
      </c>
      <c r="BA269">
        <v>50</v>
      </c>
      <c r="BB269">
        <v>100</v>
      </c>
      <c r="BC269">
        <v>268</v>
      </c>
      <c r="BD269">
        <v>196</v>
      </c>
      <c r="BE269">
        <v>30</v>
      </c>
      <c r="BF269">
        <v>0</v>
      </c>
      <c r="BG269">
        <v>410</v>
      </c>
      <c r="BH269">
        <v>120</v>
      </c>
      <c r="BI269">
        <v>222</v>
      </c>
      <c r="BJ269">
        <v>282</v>
      </c>
      <c r="BK269">
        <v>60</v>
      </c>
      <c r="BL269">
        <v>0</v>
      </c>
      <c r="BM269">
        <v>338</v>
      </c>
      <c r="BN269">
        <v>290</v>
      </c>
      <c r="BO269">
        <v>300</v>
      </c>
      <c r="BP269">
        <v>242</v>
      </c>
      <c r="BQ269">
        <v>20</v>
      </c>
      <c r="BR269">
        <v>136</v>
      </c>
      <c r="BS269">
        <v>47</v>
      </c>
      <c r="BU269" s="1">
        <f>AVERAGE(Table9[[#This Row],[1-Jan-21]:[1-Dec-25]])</f>
        <v>202.83333333333334</v>
      </c>
    </row>
    <row r="270" spans="1:73" x14ac:dyDescent="0.55000000000000004">
      <c r="A270">
        <v>269</v>
      </c>
      <c r="B270" t="s">
        <v>71</v>
      </c>
      <c r="C270" t="s">
        <v>72</v>
      </c>
      <c r="D270" t="s">
        <v>73</v>
      </c>
      <c r="E270" t="s">
        <v>134</v>
      </c>
      <c r="F270">
        <v>108416</v>
      </c>
      <c r="G270" t="s">
        <v>398</v>
      </c>
      <c r="H270" t="s">
        <v>76</v>
      </c>
      <c r="I270" t="s">
        <v>80</v>
      </c>
      <c r="J270">
        <v>185</v>
      </c>
      <c r="K270">
        <v>0</v>
      </c>
      <c r="L270">
        <v>4</v>
      </c>
      <c r="M270">
        <v>2</v>
      </c>
      <c r="N270">
        <v>6</v>
      </c>
      <c r="O270">
        <v>1</v>
      </c>
      <c r="P270">
        <v>14</v>
      </c>
      <c r="Q270">
        <v>0</v>
      </c>
      <c r="R270">
        <v>5</v>
      </c>
      <c r="S270">
        <v>5</v>
      </c>
      <c r="T270">
        <v>0</v>
      </c>
      <c r="U270">
        <v>3</v>
      </c>
      <c r="V270">
        <v>0</v>
      </c>
      <c r="W270">
        <v>5</v>
      </c>
      <c r="X270">
        <v>7</v>
      </c>
      <c r="Y270">
        <v>5</v>
      </c>
      <c r="Z270">
        <v>7</v>
      </c>
      <c r="AA270">
        <v>5</v>
      </c>
      <c r="AB270">
        <v>2</v>
      </c>
      <c r="AC270">
        <v>2</v>
      </c>
      <c r="AD270">
        <v>2</v>
      </c>
      <c r="AE270">
        <v>3</v>
      </c>
      <c r="AF270">
        <v>0</v>
      </c>
      <c r="AG270">
        <v>3</v>
      </c>
      <c r="AH270">
        <v>1</v>
      </c>
      <c r="AI270">
        <v>0</v>
      </c>
      <c r="AJ270">
        <v>0</v>
      </c>
      <c r="AK270">
        <v>3</v>
      </c>
      <c r="AL270">
        <v>0</v>
      </c>
      <c r="AM270">
        <v>3</v>
      </c>
      <c r="AN270">
        <v>0</v>
      </c>
      <c r="AO270">
        <v>2</v>
      </c>
      <c r="AP270">
        <v>3</v>
      </c>
      <c r="AQ270">
        <v>4</v>
      </c>
      <c r="AR270">
        <v>5</v>
      </c>
      <c r="AS270">
        <v>0</v>
      </c>
      <c r="AT270">
        <v>0</v>
      </c>
      <c r="AU270">
        <v>2</v>
      </c>
      <c r="AV270">
        <v>10</v>
      </c>
      <c r="AW270">
        <v>1</v>
      </c>
      <c r="AX270">
        <v>5</v>
      </c>
      <c r="AY270">
        <v>0</v>
      </c>
      <c r="AZ270">
        <v>3</v>
      </c>
      <c r="BA270">
        <v>2</v>
      </c>
      <c r="BB270">
        <v>0</v>
      </c>
      <c r="BC270">
        <v>1</v>
      </c>
      <c r="BD270">
        <v>2</v>
      </c>
      <c r="BE270">
        <v>4</v>
      </c>
      <c r="BF270">
        <v>1</v>
      </c>
      <c r="BG270">
        <v>0</v>
      </c>
      <c r="BH270">
        <v>0</v>
      </c>
      <c r="BI270">
        <v>1</v>
      </c>
      <c r="BJ270">
        <v>3</v>
      </c>
      <c r="BK270">
        <v>6</v>
      </c>
      <c r="BL270">
        <v>3</v>
      </c>
      <c r="BM270">
        <v>3</v>
      </c>
      <c r="BN270">
        <v>2</v>
      </c>
      <c r="BO270">
        <v>6</v>
      </c>
      <c r="BP270">
        <v>2</v>
      </c>
      <c r="BQ270">
        <v>2</v>
      </c>
      <c r="BR270">
        <v>2</v>
      </c>
      <c r="BS270">
        <v>45</v>
      </c>
      <c r="BU270" s="1">
        <f>AVERAGE(Table9[[#This Row],[1-Jan-21]:[1-Dec-25]])</f>
        <v>2.7166666666666668</v>
      </c>
    </row>
    <row r="271" spans="1:73" x14ac:dyDescent="0.55000000000000004">
      <c r="A271">
        <v>270</v>
      </c>
      <c r="B271" t="s">
        <v>71</v>
      </c>
      <c r="C271" t="s">
        <v>72</v>
      </c>
      <c r="D271" t="s">
        <v>73</v>
      </c>
      <c r="E271" t="s">
        <v>83</v>
      </c>
      <c r="F271">
        <v>108756</v>
      </c>
      <c r="G271" t="s">
        <v>399</v>
      </c>
      <c r="H271" t="s">
        <v>76</v>
      </c>
      <c r="I271" t="s">
        <v>77</v>
      </c>
      <c r="J271">
        <v>479.68</v>
      </c>
      <c r="K271">
        <v>0</v>
      </c>
      <c r="L271">
        <v>10</v>
      </c>
      <c r="M271">
        <v>73.36</v>
      </c>
      <c r="N271">
        <v>42</v>
      </c>
      <c r="O271">
        <v>51</v>
      </c>
      <c r="P271">
        <v>34</v>
      </c>
      <c r="Q271">
        <v>10</v>
      </c>
      <c r="R271">
        <v>0</v>
      </c>
      <c r="S271">
        <v>15</v>
      </c>
      <c r="T271">
        <v>20</v>
      </c>
      <c r="U271">
        <v>22.5</v>
      </c>
      <c r="V271">
        <v>54</v>
      </c>
      <c r="W271">
        <v>28.974</v>
      </c>
      <c r="X271">
        <v>30</v>
      </c>
      <c r="Y271">
        <v>63</v>
      </c>
      <c r="Z271">
        <v>0</v>
      </c>
      <c r="AA271">
        <v>39</v>
      </c>
      <c r="AB271">
        <v>70</v>
      </c>
      <c r="AC271">
        <v>0</v>
      </c>
      <c r="AD271">
        <v>18</v>
      </c>
      <c r="AE271">
        <v>25</v>
      </c>
      <c r="AF271">
        <v>21</v>
      </c>
      <c r="AG271">
        <v>0</v>
      </c>
      <c r="AH271">
        <v>0</v>
      </c>
      <c r="AI271">
        <v>16.399999999999999</v>
      </c>
      <c r="AJ271">
        <v>1.5</v>
      </c>
      <c r="AK271">
        <v>11.5</v>
      </c>
      <c r="AL271">
        <v>0</v>
      </c>
      <c r="AM271">
        <v>23</v>
      </c>
      <c r="AN271">
        <v>0</v>
      </c>
      <c r="AO271">
        <v>24</v>
      </c>
      <c r="AP271">
        <v>23.76</v>
      </c>
      <c r="AQ271">
        <v>2</v>
      </c>
      <c r="AR271">
        <v>0</v>
      </c>
      <c r="AS271">
        <v>1.5</v>
      </c>
      <c r="AT271">
        <v>27.32</v>
      </c>
      <c r="AU271">
        <v>26</v>
      </c>
      <c r="AV271">
        <v>13.36</v>
      </c>
      <c r="AW271">
        <v>35.479999999999997</v>
      </c>
      <c r="AX271">
        <v>35</v>
      </c>
      <c r="AY271">
        <v>35.86</v>
      </c>
      <c r="AZ271">
        <v>36.72</v>
      </c>
      <c r="BA271">
        <v>0</v>
      </c>
      <c r="BB271">
        <v>27</v>
      </c>
      <c r="BC271">
        <v>65.12</v>
      </c>
      <c r="BD271">
        <v>11</v>
      </c>
      <c r="BE271">
        <v>38.5</v>
      </c>
      <c r="BF271">
        <v>2</v>
      </c>
      <c r="BG271">
        <v>43.5</v>
      </c>
      <c r="BH271">
        <v>27.364000000000001</v>
      </c>
      <c r="BI271">
        <v>90.5</v>
      </c>
      <c r="BJ271">
        <v>0</v>
      </c>
      <c r="BK271">
        <v>33.200000000000003</v>
      </c>
      <c r="BL271">
        <v>0</v>
      </c>
      <c r="BM271">
        <v>5</v>
      </c>
      <c r="BN271">
        <v>3.2</v>
      </c>
      <c r="BO271">
        <v>18</v>
      </c>
      <c r="BP271">
        <v>0</v>
      </c>
      <c r="BQ271">
        <v>16</v>
      </c>
      <c r="BR271">
        <v>0</v>
      </c>
      <c r="BS271">
        <v>46</v>
      </c>
      <c r="BU271" s="1">
        <f>AVERAGE(Table9[[#This Row],[1-Jan-21]:[1-Dec-25]])</f>
        <v>22.010300000000008</v>
      </c>
    </row>
    <row r="272" spans="1:73" x14ac:dyDescent="0.55000000000000004">
      <c r="A272">
        <v>271</v>
      </c>
      <c r="B272" t="s">
        <v>71</v>
      </c>
      <c r="C272" t="s">
        <v>72</v>
      </c>
      <c r="D272" t="s">
        <v>400</v>
      </c>
      <c r="E272" t="s">
        <v>401</v>
      </c>
      <c r="F272">
        <v>105892</v>
      </c>
      <c r="G272" t="s">
        <v>402</v>
      </c>
      <c r="H272" t="s">
        <v>76</v>
      </c>
      <c r="I272" t="s">
        <v>80</v>
      </c>
      <c r="J272">
        <v>1071.27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5</v>
      </c>
      <c r="S272">
        <v>1</v>
      </c>
      <c r="T272">
        <v>4</v>
      </c>
      <c r="U272">
        <v>2</v>
      </c>
      <c r="V272">
        <v>5</v>
      </c>
      <c r="W272">
        <v>3</v>
      </c>
      <c r="X272">
        <v>5</v>
      </c>
      <c r="Y272">
        <v>7</v>
      </c>
      <c r="Z272">
        <v>3</v>
      </c>
      <c r="AA272">
        <v>4</v>
      </c>
      <c r="AB272">
        <v>5</v>
      </c>
      <c r="AC272">
        <v>3</v>
      </c>
      <c r="AD272">
        <v>5</v>
      </c>
      <c r="AE272">
        <v>1</v>
      </c>
      <c r="AF272">
        <v>2</v>
      </c>
      <c r="AG272">
        <v>1</v>
      </c>
      <c r="AH272">
        <v>2</v>
      </c>
      <c r="AI272">
        <v>3</v>
      </c>
      <c r="AJ272">
        <v>10</v>
      </c>
      <c r="AK272">
        <v>1</v>
      </c>
      <c r="AL272">
        <v>3</v>
      </c>
      <c r="AM272">
        <v>5</v>
      </c>
      <c r="AN272">
        <v>1</v>
      </c>
      <c r="AO272">
        <v>1</v>
      </c>
      <c r="AP272">
        <v>3</v>
      </c>
      <c r="AQ272">
        <v>2</v>
      </c>
      <c r="AR272">
        <v>6</v>
      </c>
      <c r="AS272">
        <v>2</v>
      </c>
      <c r="AT272">
        <v>3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6</v>
      </c>
      <c r="BA272">
        <v>1</v>
      </c>
      <c r="BB272">
        <v>1</v>
      </c>
      <c r="BC272">
        <v>3</v>
      </c>
      <c r="BD272">
        <v>1</v>
      </c>
      <c r="BE272">
        <v>3</v>
      </c>
      <c r="BF272">
        <v>1</v>
      </c>
      <c r="BG272">
        <v>2</v>
      </c>
      <c r="BH272">
        <v>2</v>
      </c>
      <c r="BI272">
        <v>7</v>
      </c>
      <c r="BJ272">
        <v>4</v>
      </c>
      <c r="BK272">
        <v>1</v>
      </c>
      <c r="BL272">
        <v>3</v>
      </c>
      <c r="BM272">
        <v>8</v>
      </c>
      <c r="BN272">
        <v>3</v>
      </c>
      <c r="BO272">
        <v>1</v>
      </c>
      <c r="BP272">
        <v>5</v>
      </c>
      <c r="BQ272">
        <v>6</v>
      </c>
      <c r="BR272">
        <v>3</v>
      </c>
      <c r="BS272">
        <v>54</v>
      </c>
      <c r="BU272" s="1">
        <f>AVERAGE(Table9[[#This Row],[1-Jan-21]:[1-Dec-25]])</f>
        <v>2.85</v>
      </c>
    </row>
    <row r="273" spans="1:73" x14ac:dyDescent="0.55000000000000004">
      <c r="A273">
        <v>272</v>
      </c>
      <c r="B273" t="s">
        <v>71</v>
      </c>
      <c r="C273" t="s">
        <v>72</v>
      </c>
      <c r="D273" t="s">
        <v>73</v>
      </c>
      <c r="E273" t="s">
        <v>78</v>
      </c>
      <c r="F273">
        <v>109012</v>
      </c>
      <c r="G273" t="s">
        <v>403</v>
      </c>
      <c r="H273" t="s">
        <v>76</v>
      </c>
      <c r="I273" t="s">
        <v>80</v>
      </c>
      <c r="J273">
        <v>5.78</v>
      </c>
      <c r="K273">
        <v>201</v>
      </c>
      <c r="L273">
        <v>188</v>
      </c>
      <c r="M273">
        <v>164</v>
      </c>
      <c r="N273">
        <v>131</v>
      </c>
      <c r="O273">
        <v>130</v>
      </c>
      <c r="P273">
        <v>238</v>
      </c>
      <c r="Q273">
        <v>65</v>
      </c>
      <c r="R273">
        <v>243</v>
      </c>
      <c r="S273">
        <v>433</v>
      </c>
      <c r="T273">
        <v>372</v>
      </c>
      <c r="U273">
        <v>206</v>
      </c>
      <c r="V273">
        <v>133</v>
      </c>
      <c r="W273">
        <v>204</v>
      </c>
      <c r="X273">
        <v>316</v>
      </c>
      <c r="Y273">
        <v>202</v>
      </c>
      <c r="Z273">
        <v>126</v>
      </c>
      <c r="AA273">
        <v>242</v>
      </c>
      <c r="AB273">
        <v>104</v>
      </c>
      <c r="AC273">
        <v>110</v>
      </c>
      <c r="AD273">
        <v>50</v>
      </c>
      <c r="AE273">
        <v>73</v>
      </c>
      <c r="AF273">
        <v>50</v>
      </c>
      <c r="AG273">
        <v>87</v>
      </c>
      <c r="AH273">
        <v>22</v>
      </c>
      <c r="AI273">
        <v>77</v>
      </c>
      <c r="AJ273">
        <v>83</v>
      </c>
      <c r="AK273">
        <v>49</v>
      </c>
      <c r="AL273">
        <v>44</v>
      </c>
      <c r="AM273">
        <v>127</v>
      </c>
      <c r="AN273">
        <v>93</v>
      </c>
      <c r="AO273">
        <v>106</v>
      </c>
      <c r="AP273">
        <v>46</v>
      </c>
      <c r="AQ273">
        <v>32</v>
      </c>
      <c r="AR273">
        <v>112</v>
      </c>
      <c r="AS273">
        <v>184</v>
      </c>
      <c r="AT273">
        <v>136</v>
      </c>
      <c r="AU273">
        <v>91</v>
      </c>
      <c r="AV273">
        <v>107</v>
      </c>
      <c r="AW273">
        <v>101</v>
      </c>
      <c r="AX273">
        <v>141</v>
      </c>
      <c r="AY273">
        <v>224</v>
      </c>
      <c r="AZ273">
        <v>72</v>
      </c>
      <c r="BA273">
        <v>77</v>
      </c>
      <c r="BB273">
        <v>192</v>
      </c>
      <c r="BC273">
        <v>51</v>
      </c>
      <c r="BD273">
        <v>129</v>
      </c>
      <c r="BE273">
        <v>164</v>
      </c>
      <c r="BF273">
        <v>160</v>
      </c>
      <c r="BG273">
        <v>214</v>
      </c>
      <c r="BH273">
        <v>240</v>
      </c>
      <c r="BI273">
        <v>254</v>
      </c>
      <c r="BJ273">
        <v>310</v>
      </c>
      <c r="BK273">
        <v>148</v>
      </c>
      <c r="BL273">
        <v>195</v>
      </c>
      <c r="BM273">
        <v>224</v>
      </c>
      <c r="BN273">
        <v>110</v>
      </c>
      <c r="BO273">
        <v>96</v>
      </c>
      <c r="BP273">
        <v>110</v>
      </c>
      <c r="BQ273">
        <v>34</v>
      </c>
      <c r="BR273">
        <v>154</v>
      </c>
      <c r="BS273">
        <v>60</v>
      </c>
      <c r="BU273" s="1">
        <f>AVERAGE(Table9[[#This Row],[1-Jan-21]:[1-Dec-25]])</f>
        <v>146.28333333333333</v>
      </c>
    </row>
    <row r="274" spans="1:73" x14ac:dyDescent="0.55000000000000004">
      <c r="A274">
        <v>273</v>
      </c>
      <c r="B274" t="s">
        <v>71</v>
      </c>
      <c r="C274" t="s">
        <v>72</v>
      </c>
      <c r="D274" t="s">
        <v>73</v>
      </c>
      <c r="E274" t="s">
        <v>78</v>
      </c>
      <c r="F274">
        <v>109013</v>
      </c>
      <c r="G274" t="s">
        <v>404</v>
      </c>
      <c r="H274" t="s">
        <v>76</v>
      </c>
      <c r="I274" t="s">
        <v>80</v>
      </c>
      <c r="J274">
        <v>7.66</v>
      </c>
      <c r="K274">
        <v>116</v>
      </c>
      <c r="L274">
        <v>307</v>
      </c>
      <c r="M274">
        <v>138</v>
      </c>
      <c r="N274">
        <v>223</v>
      </c>
      <c r="O274">
        <v>198</v>
      </c>
      <c r="P274">
        <v>239</v>
      </c>
      <c r="Q274">
        <v>176</v>
      </c>
      <c r="R274">
        <v>89</v>
      </c>
      <c r="S274">
        <v>315</v>
      </c>
      <c r="T274">
        <v>211</v>
      </c>
      <c r="U274">
        <v>167</v>
      </c>
      <c r="V274">
        <v>215</v>
      </c>
      <c r="W274">
        <v>125</v>
      </c>
      <c r="X274">
        <v>191</v>
      </c>
      <c r="Y274">
        <v>121</v>
      </c>
      <c r="Z274">
        <v>133</v>
      </c>
      <c r="AA274">
        <v>189</v>
      </c>
      <c r="AB274">
        <v>168</v>
      </c>
      <c r="AC274">
        <v>47</v>
      </c>
      <c r="AD274">
        <v>23</v>
      </c>
      <c r="AE274">
        <v>27</v>
      </c>
      <c r="AF274">
        <v>38</v>
      </c>
      <c r="AG274">
        <v>140</v>
      </c>
      <c r="AH274">
        <v>13</v>
      </c>
      <c r="AI274">
        <v>199</v>
      </c>
      <c r="AJ274">
        <v>56</v>
      </c>
      <c r="AK274">
        <v>28</v>
      </c>
      <c r="AL274">
        <v>19</v>
      </c>
      <c r="AM274">
        <v>72</v>
      </c>
      <c r="AN274">
        <v>51</v>
      </c>
      <c r="AO274">
        <v>37</v>
      </c>
      <c r="AP274">
        <v>21</v>
      </c>
      <c r="AQ274">
        <v>60</v>
      </c>
      <c r="AR274">
        <v>90</v>
      </c>
      <c r="AS274">
        <v>23</v>
      </c>
      <c r="AT274">
        <v>38</v>
      </c>
      <c r="AU274">
        <v>90</v>
      </c>
      <c r="AV274">
        <v>33</v>
      </c>
      <c r="AW274">
        <v>127</v>
      </c>
      <c r="AX274">
        <v>56</v>
      </c>
      <c r="AY274">
        <v>139</v>
      </c>
      <c r="AZ274">
        <v>48</v>
      </c>
      <c r="BA274">
        <v>20</v>
      </c>
      <c r="BB274">
        <v>0</v>
      </c>
      <c r="BC274">
        <v>43</v>
      </c>
      <c r="BD274">
        <v>46</v>
      </c>
      <c r="BE274">
        <v>103</v>
      </c>
      <c r="BF274">
        <v>68</v>
      </c>
      <c r="BG274">
        <v>32</v>
      </c>
      <c r="BH274">
        <v>105</v>
      </c>
      <c r="BI274">
        <v>60</v>
      </c>
      <c r="BJ274">
        <v>138</v>
      </c>
      <c r="BK274">
        <v>82</v>
      </c>
      <c r="BL274">
        <v>38</v>
      </c>
      <c r="BM274">
        <v>118</v>
      </c>
      <c r="BN274">
        <v>139</v>
      </c>
      <c r="BO274">
        <v>65</v>
      </c>
      <c r="BP274">
        <v>65</v>
      </c>
      <c r="BQ274">
        <v>125</v>
      </c>
      <c r="BR274">
        <v>38</v>
      </c>
      <c r="BS274">
        <v>59</v>
      </c>
      <c r="BU274" s="1">
        <f>AVERAGE(Table9[[#This Row],[1-Jan-21]:[1-Dec-25]])</f>
        <v>101.35</v>
      </c>
    </row>
    <row r="275" spans="1:73" x14ac:dyDescent="0.55000000000000004">
      <c r="A275">
        <v>274</v>
      </c>
      <c r="B275" t="s">
        <v>71</v>
      </c>
      <c r="C275" t="s">
        <v>72</v>
      </c>
      <c r="D275" t="s">
        <v>73</v>
      </c>
      <c r="E275" t="s">
        <v>99</v>
      </c>
      <c r="F275">
        <v>144692</v>
      </c>
      <c r="G275" t="s">
        <v>405</v>
      </c>
      <c r="H275" t="s">
        <v>76</v>
      </c>
      <c r="I275" t="s">
        <v>80</v>
      </c>
      <c r="J275">
        <v>816.28</v>
      </c>
      <c r="K275">
        <v>15</v>
      </c>
      <c r="L275">
        <v>26</v>
      </c>
      <c r="M275">
        <v>30</v>
      </c>
      <c r="N275">
        <v>21</v>
      </c>
      <c r="O275">
        <v>31</v>
      </c>
      <c r="P275">
        <v>44</v>
      </c>
      <c r="Q275">
        <v>28</v>
      </c>
      <c r="R275">
        <v>9</v>
      </c>
      <c r="S275">
        <v>36</v>
      </c>
      <c r="T275">
        <v>21</v>
      </c>
      <c r="U275">
        <v>26</v>
      </c>
      <c r="V275">
        <v>23</v>
      </c>
      <c r="W275">
        <v>36</v>
      </c>
      <c r="X275">
        <v>27</v>
      </c>
      <c r="Y275">
        <v>7</v>
      </c>
      <c r="Z275">
        <v>20</v>
      </c>
      <c r="AA275">
        <v>20</v>
      </c>
      <c r="AB275">
        <v>27</v>
      </c>
      <c r="AC275">
        <v>2</v>
      </c>
      <c r="AD275">
        <v>2</v>
      </c>
      <c r="AE275">
        <v>0</v>
      </c>
      <c r="AF275">
        <v>3</v>
      </c>
      <c r="AG275">
        <v>8</v>
      </c>
      <c r="AH275">
        <v>7</v>
      </c>
      <c r="AI275">
        <v>10</v>
      </c>
      <c r="AJ275">
        <v>5</v>
      </c>
      <c r="AK275">
        <v>15</v>
      </c>
      <c r="AL275">
        <v>0</v>
      </c>
      <c r="AM275">
        <v>0</v>
      </c>
      <c r="AN275">
        <v>15</v>
      </c>
      <c r="AO275">
        <v>15</v>
      </c>
      <c r="AP275">
        <v>8</v>
      </c>
      <c r="AQ275">
        <v>8</v>
      </c>
      <c r="AR275">
        <v>0</v>
      </c>
      <c r="AS275">
        <v>16</v>
      </c>
      <c r="AT275">
        <v>1</v>
      </c>
      <c r="AU275">
        <v>34</v>
      </c>
      <c r="AV275">
        <v>0</v>
      </c>
      <c r="AW275">
        <v>4</v>
      </c>
      <c r="AX275">
        <v>2</v>
      </c>
      <c r="AY275">
        <v>24</v>
      </c>
      <c r="AZ275">
        <v>5</v>
      </c>
      <c r="BA275">
        <v>10</v>
      </c>
      <c r="BB275">
        <v>0</v>
      </c>
      <c r="BC275">
        <v>10</v>
      </c>
      <c r="BD275">
        <v>8</v>
      </c>
      <c r="BE275">
        <v>6</v>
      </c>
      <c r="BF275">
        <v>24</v>
      </c>
      <c r="BG275">
        <v>0</v>
      </c>
      <c r="BH275">
        <v>0</v>
      </c>
      <c r="BI275">
        <v>20</v>
      </c>
      <c r="BJ275">
        <v>20</v>
      </c>
      <c r="BK275">
        <v>0</v>
      </c>
      <c r="BL275">
        <v>0</v>
      </c>
      <c r="BM275">
        <v>6</v>
      </c>
      <c r="BN275">
        <v>0</v>
      </c>
      <c r="BO275">
        <v>3</v>
      </c>
      <c r="BP275">
        <v>0</v>
      </c>
      <c r="BQ275">
        <v>3</v>
      </c>
      <c r="BR275">
        <v>2</v>
      </c>
      <c r="BS275">
        <v>48</v>
      </c>
      <c r="BU275" s="1">
        <f>AVERAGE(Table9[[#This Row],[1-Jan-21]:[1-Dec-25]])</f>
        <v>12.383333333333333</v>
      </c>
    </row>
    <row r="276" spans="1:73" x14ac:dyDescent="0.55000000000000004">
      <c r="A276">
        <v>275</v>
      </c>
      <c r="B276" t="s">
        <v>71</v>
      </c>
      <c r="C276" t="s">
        <v>72</v>
      </c>
      <c r="D276" t="s">
        <v>73</v>
      </c>
      <c r="E276" t="s">
        <v>83</v>
      </c>
      <c r="F276">
        <v>108766</v>
      </c>
      <c r="G276" t="s">
        <v>406</v>
      </c>
      <c r="H276" t="s">
        <v>76</v>
      </c>
      <c r="I276" t="s">
        <v>77</v>
      </c>
      <c r="J276">
        <v>410.86</v>
      </c>
      <c r="K276">
        <v>36</v>
      </c>
      <c r="L276">
        <v>76.45</v>
      </c>
      <c r="M276">
        <v>67.721999999999994</v>
      </c>
      <c r="N276">
        <v>75</v>
      </c>
      <c r="O276">
        <v>51</v>
      </c>
      <c r="P276">
        <v>20</v>
      </c>
      <c r="Q276">
        <v>10</v>
      </c>
      <c r="R276">
        <v>33</v>
      </c>
      <c r="S276">
        <v>66</v>
      </c>
      <c r="T276">
        <v>10.86</v>
      </c>
      <c r="U276">
        <v>18</v>
      </c>
      <c r="V276">
        <v>22</v>
      </c>
      <c r="W276">
        <v>0</v>
      </c>
      <c r="X276">
        <v>10</v>
      </c>
      <c r="Y276">
        <v>81</v>
      </c>
      <c r="Z276">
        <v>0</v>
      </c>
      <c r="AA276">
        <v>26</v>
      </c>
      <c r="AB276">
        <v>45</v>
      </c>
      <c r="AC276">
        <v>18</v>
      </c>
      <c r="AD276">
        <v>0</v>
      </c>
      <c r="AE276">
        <v>0</v>
      </c>
      <c r="AF276">
        <v>0</v>
      </c>
      <c r="AG276">
        <v>106</v>
      </c>
      <c r="AH276">
        <v>13</v>
      </c>
      <c r="AI276">
        <v>0</v>
      </c>
      <c r="AJ276">
        <v>0</v>
      </c>
      <c r="AK276">
        <v>0</v>
      </c>
      <c r="AL276">
        <v>0</v>
      </c>
      <c r="AM276">
        <v>7</v>
      </c>
      <c r="AN276">
        <v>10</v>
      </c>
      <c r="AO276">
        <v>16.2</v>
      </c>
      <c r="AP276">
        <v>21</v>
      </c>
      <c r="AQ276">
        <v>33.99</v>
      </c>
      <c r="AR276">
        <v>40</v>
      </c>
      <c r="AS276">
        <v>0</v>
      </c>
      <c r="AT276">
        <v>11.66</v>
      </c>
      <c r="AU276">
        <v>53.96</v>
      </c>
      <c r="AV276">
        <v>5</v>
      </c>
      <c r="AW276">
        <v>45</v>
      </c>
      <c r="AX276">
        <v>32</v>
      </c>
      <c r="AY276">
        <v>44</v>
      </c>
      <c r="AZ276">
        <v>56.2</v>
      </c>
      <c r="BA276">
        <v>6</v>
      </c>
      <c r="BB276">
        <v>19</v>
      </c>
      <c r="BC276">
        <v>0</v>
      </c>
      <c r="BD276">
        <v>31.18</v>
      </c>
      <c r="BE276">
        <v>51.04</v>
      </c>
      <c r="BF276">
        <v>83</v>
      </c>
      <c r="BG276">
        <v>19.5</v>
      </c>
      <c r="BH276">
        <v>15</v>
      </c>
      <c r="BI276">
        <v>111.72</v>
      </c>
      <c r="BJ276">
        <v>0</v>
      </c>
      <c r="BK276">
        <v>0</v>
      </c>
      <c r="BL276">
        <v>23</v>
      </c>
      <c r="BM276">
        <v>0</v>
      </c>
      <c r="BN276">
        <v>0</v>
      </c>
      <c r="BO276">
        <v>79.2</v>
      </c>
      <c r="BP276">
        <v>13.4</v>
      </c>
      <c r="BQ276">
        <v>16</v>
      </c>
      <c r="BR276">
        <v>0</v>
      </c>
      <c r="BS276">
        <v>44</v>
      </c>
      <c r="BU276" s="1">
        <f>AVERAGE(Table9[[#This Row],[1-Jan-21]:[1-Dec-25]])</f>
        <v>27.151366666666672</v>
      </c>
    </row>
    <row r="277" spans="1:73" x14ac:dyDescent="0.55000000000000004">
      <c r="A277">
        <v>276</v>
      </c>
      <c r="B277" t="s">
        <v>71</v>
      </c>
      <c r="C277" t="s">
        <v>72</v>
      </c>
      <c r="D277" t="s">
        <v>73</v>
      </c>
      <c r="E277" t="s">
        <v>87</v>
      </c>
      <c r="F277">
        <v>131621</v>
      </c>
      <c r="G277" t="s">
        <v>407</v>
      </c>
      <c r="H277" t="s">
        <v>76</v>
      </c>
      <c r="I277" t="s">
        <v>80</v>
      </c>
      <c r="J277">
        <v>196.84</v>
      </c>
      <c r="K277">
        <v>28</v>
      </c>
      <c r="L277">
        <v>26</v>
      </c>
      <c r="M277">
        <v>14</v>
      </c>
      <c r="N277">
        <v>26</v>
      </c>
      <c r="O277">
        <v>33</v>
      </c>
      <c r="P277">
        <v>28</v>
      </c>
      <c r="Q277">
        <v>16</v>
      </c>
      <c r="R277">
        <v>0</v>
      </c>
      <c r="S277">
        <v>14</v>
      </c>
      <c r="T277">
        <v>26</v>
      </c>
      <c r="U277">
        <v>8</v>
      </c>
      <c r="V277">
        <v>28</v>
      </c>
      <c r="W277">
        <v>33</v>
      </c>
      <c r="X277">
        <v>4</v>
      </c>
      <c r="Y277">
        <v>24</v>
      </c>
      <c r="Z277">
        <v>24</v>
      </c>
      <c r="AA277">
        <v>10</v>
      </c>
      <c r="AB277">
        <v>16</v>
      </c>
      <c r="AC277">
        <v>20</v>
      </c>
      <c r="AD277">
        <v>5</v>
      </c>
      <c r="AE277">
        <v>4</v>
      </c>
      <c r="AF277">
        <v>50</v>
      </c>
      <c r="AG277">
        <v>32</v>
      </c>
      <c r="AH277">
        <v>6</v>
      </c>
      <c r="AI277">
        <v>15</v>
      </c>
      <c r="AJ277">
        <v>20</v>
      </c>
      <c r="AK277">
        <v>20</v>
      </c>
      <c r="AL277">
        <v>18</v>
      </c>
      <c r="AM277">
        <v>18</v>
      </c>
      <c r="AN277">
        <v>13</v>
      </c>
      <c r="AO277">
        <v>15</v>
      </c>
      <c r="AP277">
        <v>28</v>
      </c>
      <c r="AQ277">
        <v>4</v>
      </c>
      <c r="AR277">
        <v>0</v>
      </c>
      <c r="AS277">
        <v>13</v>
      </c>
      <c r="AT277">
        <v>13</v>
      </c>
      <c r="AU277">
        <v>10</v>
      </c>
      <c r="AV277">
        <v>10</v>
      </c>
      <c r="AW277">
        <v>10</v>
      </c>
      <c r="AX277">
        <v>10</v>
      </c>
      <c r="AY277">
        <v>0</v>
      </c>
      <c r="AZ277">
        <v>15</v>
      </c>
      <c r="BA277">
        <v>10</v>
      </c>
      <c r="BB277">
        <v>18</v>
      </c>
      <c r="BC277">
        <v>0</v>
      </c>
      <c r="BD277">
        <v>10</v>
      </c>
      <c r="BE277">
        <v>0</v>
      </c>
      <c r="BF277">
        <v>12</v>
      </c>
      <c r="BG277">
        <v>20</v>
      </c>
      <c r="BH277">
        <v>4</v>
      </c>
      <c r="BI277">
        <v>42</v>
      </c>
      <c r="BJ277">
        <v>0</v>
      </c>
      <c r="BK277">
        <v>30</v>
      </c>
      <c r="BL277">
        <v>30</v>
      </c>
      <c r="BM277">
        <v>36</v>
      </c>
      <c r="BN277">
        <v>20</v>
      </c>
      <c r="BO277">
        <v>0</v>
      </c>
      <c r="BP277">
        <v>0</v>
      </c>
      <c r="BQ277">
        <v>10</v>
      </c>
      <c r="BR277">
        <v>15</v>
      </c>
      <c r="BS277">
        <v>52</v>
      </c>
      <c r="BU277" s="1">
        <f>AVERAGE(Table9[[#This Row],[1-Jan-21]:[1-Dec-25]])</f>
        <v>16.066666666666666</v>
      </c>
    </row>
    <row r="278" spans="1:73" x14ac:dyDescent="0.55000000000000004">
      <c r="A278">
        <v>277</v>
      </c>
      <c r="B278" t="s">
        <v>71</v>
      </c>
      <c r="C278" t="s">
        <v>72</v>
      </c>
      <c r="D278" t="s">
        <v>73</v>
      </c>
      <c r="E278" t="s">
        <v>116</v>
      </c>
      <c r="F278">
        <v>234356</v>
      </c>
      <c r="G278" t="s">
        <v>408</v>
      </c>
      <c r="H278" t="s">
        <v>76</v>
      </c>
      <c r="I278" t="s">
        <v>80</v>
      </c>
      <c r="J278">
        <v>19.239999999999998</v>
      </c>
      <c r="K278">
        <v>4</v>
      </c>
      <c r="L278">
        <v>0</v>
      </c>
      <c r="M278">
        <v>0</v>
      </c>
      <c r="N278">
        <v>5</v>
      </c>
      <c r="O278">
        <v>2</v>
      </c>
      <c r="P278">
        <v>20</v>
      </c>
      <c r="Q278">
        <v>2</v>
      </c>
      <c r="R278">
        <v>0</v>
      </c>
      <c r="S278">
        <v>12</v>
      </c>
      <c r="T278">
        <v>0</v>
      </c>
      <c r="U278">
        <v>0</v>
      </c>
      <c r="V278">
        <v>10</v>
      </c>
      <c r="W278">
        <v>0</v>
      </c>
      <c r="X278">
        <v>6</v>
      </c>
      <c r="Y278">
        <v>19</v>
      </c>
      <c r="Z278">
        <v>5</v>
      </c>
      <c r="AA278">
        <v>5</v>
      </c>
      <c r="AB278">
        <v>10</v>
      </c>
      <c r="AC278">
        <v>0</v>
      </c>
      <c r="AD278">
        <v>3</v>
      </c>
      <c r="AE278">
        <v>3</v>
      </c>
      <c r="AF278">
        <v>13</v>
      </c>
      <c r="AG278">
        <v>10</v>
      </c>
      <c r="AH278">
        <v>5</v>
      </c>
      <c r="AI278">
        <v>18</v>
      </c>
      <c r="AJ278">
        <v>0</v>
      </c>
      <c r="AK278">
        <v>10</v>
      </c>
      <c r="AL278">
        <v>0</v>
      </c>
      <c r="AM278">
        <v>9</v>
      </c>
      <c r="AN278">
        <v>4</v>
      </c>
      <c r="AO278">
        <v>14</v>
      </c>
      <c r="AP278">
        <v>4</v>
      </c>
      <c r="AQ278">
        <v>11</v>
      </c>
      <c r="AR278">
        <v>0</v>
      </c>
      <c r="AS278">
        <v>17</v>
      </c>
      <c r="AT278">
        <v>38</v>
      </c>
      <c r="AU278">
        <v>33</v>
      </c>
      <c r="AV278">
        <v>6</v>
      </c>
      <c r="AW278">
        <v>71</v>
      </c>
      <c r="AX278">
        <v>10</v>
      </c>
      <c r="AY278">
        <v>25</v>
      </c>
      <c r="AZ278">
        <v>0</v>
      </c>
      <c r="BA278">
        <v>16</v>
      </c>
      <c r="BB278">
        <v>6</v>
      </c>
      <c r="BC278">
        <v>5</v>
      </c>
      <c r="BD278">
        <v>0</v>
      </c>
      <c r="BE278">
        <v>14</v>
      </c>
      <c r="BF278">
        <v>4</v>
      </c>
      <c r="BG278">
        <v>15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10</v>
      </c>
      <c r="BN278">
        <v>3</v>
      </c>
      <c r="BO278">
        <v>17</v>
      </c>
      <c r="BP278">
        <v>3</v>
      </c>
      <c r="BQ278">
        <v>10</v>
      </c>
      <c r="BR278">
        <v>0</v>
      </c>
      <c r="BS278">
        <v>42</v>
      </c>
      <c r="BU278" s="1">
        <f>AVERAGE(Table9[[#This Row],[1-Jan-21]:[1-Dec-25]])</f>
        <v>8.4499999999999993</v>
      </c>
    </row>
    <row r="279" spans="1:73" x14ac:dyDescent="0.55000000000000004">
      <c r="A279">
        <v>278</v>
      </c>
      <c r="B279" t="s">
        <v>71</v>
      </c>
      <c r="C279" t="s">
        <v>72</v>
      </c>
      <c r="D279" t="s">
        <v>73</v>
      </c>
      <c r="E279" t="s">
        <v>149</v>
      </c>
      <c r="F279">
        <v>110555</v>
      </c>
      <c r="G279" t="s">
        <v>409</v>
      </c>
      <c r="H279" t="s">
        <v>76</v>
      </c>
      <c r="I279" t="s">
        <v>80</v>
      </c>
      <c r="J279">
        <v>2547.36</v>
      </c>
      <c r="K279">
        <v>5</v>
      </c>
      <c r="L279">
        <v>1</v>
      </c>
      <c r="M279">
        <v>3</v>
      </c>
      <c r="N279">
        <v>0</v>
      </c>
      <c r="O279">
        <v>2</v>
      </c>
      <c r="P279">
        <v>2</v>
      </c>
      <c r="Q279">
        <v>2</v>
      </c>
      <c r="R279">
        <v>3</v>
      </c>
      <c r="S279">
        <v>9</v>
      </c>
      <c r="T279">
        <v>5</v>
      </c>
      <c r="U279">
        <v>6</v>
      </c>
      <c r="V279">
        <v>3</v>
      </c>
      <c r="W279">
        <v>4</v>
      </c>
      <c r="X279">
        <v>5</v>
      </c>
      <c r="Y279">
        <v>0</v>
      </c>
      <c r="Z279">
        <v>3</v>
      </c>
      <c r="AA279">
        <v>4</v>
      </c>
      <c r="AB279">
        <v>1</v>
      </c>
      <c r="AC279">
        <v>3</v>
      </c>
      <c r="AD279">
        <v>0</v>
      </c>
      <c r="AE279">
        <v>5</v>
      </c>
      <c r="AF279">
        <v>1</v>
      </c>
      <c r="AG279">
        <v>0</v>
      </c>
      <c r="AH279">
        <v>0</v>
      </c>
      <c r="AI279">
        <v>1</v>
      </c>
      <c r="AJ279">
        <v>7</v>
      </c>
      <c r="AK279">
        <v>2</v>
      </c>
      <c r="AL279">
        <v>0</v>
      </c>
      <c r="AM279">
        <v>4</v>
      </c>
      <c r="AN279">
        <v>1</v>
      </c>
      <c r="AO279">
        <v>2</v>
      </c>
      <c r="AP279">
        <v>3</v>
      </c>
      <c r="AQ279">
        <v>0</v>
      </c>
      <c r="AR279">
        <v>0</v>
      </c>
      <c r="AS279">
        <v>0</v>
      </c>
      <c r="AT279">
        <v>2</v>
      </c>
      <c r="AU279">
        <v>0</v>
      </c>
      <c r="AV279">
        <v>2</v>
      </c>
      <c r="AW279">
        <v>0</v>
      </c>
      <c r="AX279">
        <v>3</v>
      </c>
      <c r="AY279">
        <v>2</v>
      </c>
      <c r="AZ279">
        <v>0</v>
      </c>
      <c r="BA279">
        <v>2</v>
      </c>
      <c r="BB279">
        <v>2</v>
      </c>
      <c r="BC279">
        <v>3</v>
      </c>
      <c r="BD279">
        <v>4</v>
      </c>
      <c r="BE279">
        <v>1</v>
      </c>
      <c r="BF279">
        <v>1</v>
      </c>
      <c r="BG279">
        <v>1</v>
      </c>
      <c r="BH279">
        <v>1</v>
      </c>
      <c r="BI279">
        <v>3</v>
      </c>
      <c r="BJ279">
        <v>7</v>
      </c>
      <c r="BK279">
        <v>6</v>
      </c>
      <c r="BL279">
        <v>1</v>
      </c>
      <c r="BM279">
        <v>1</v>
      </c>
      <c r="BN279">
        <v>5</v>
      </c>
      <c r="BO279">
        <v>0</v>
      </c>
      <c r="BP279">
        <v>0</v>
      </c>
      <c r="BQ279">
        <v>1</v>
      </c>
      <c r="BR279">
        <v>0</v>
      </c>
      <c r="BS279">
        <v>45</v>
      </c>
      <c r="BU279" s="1">
        <f>AVERAGE(Table9[[#This Row],[1-Jan-21]:[1-Dec-25]])</f>
        <v>2.25</v>
      </c>
    </row>
    <row r="280" spans="1:73" x14ac:dyDescent="0.55000000000000004">
      <c r="A280">
        <v>279</v>
      </c>
      <c r="B280" t="s">
        <v>71</v>
      </c>
      <c r="C280" t="s">
        <v>72</v>
      </c>
      <c r="D280" t="s">
        <v>73</v>
      </c>
      <c r="E280" t="s">
        <v>89</v>
      </c>
      <c r="F280">
        <v>109158</v>
      </c>
      <c r="G280" t="s">
        <v>410</v>
      </c>
      <c r="H280" t="s">
        <v>76</v>
      </c>
      <c r="I280" t="s">
        <v>80</v>
      </c>
      <c r="J280">
        <v>86.84</v>
      </c>
      <c r="K280">
        <v>22</v>
      </c>
      <c r="L280">
        <v>113</v>
      </c>
      <c r="M280">
        <v>91</v>
      </c>
      <c r="N280">
        <v>19</v>
      </c>
      <c r="O280">
        <v>30</v>
      </c>
      <c r="P280">
        <v>34</v>
      </c>
      <c r="Q280">
        <v>14</v>
      </c>
      <c r="R280">
        <v>38</v>
      </c>
      <c r="S280">
        <v>23</v>
      </c>
      <c r="T280">
        <v>87</v>
      </c>
      <c r="U280">
        <v>19</v>
      </c>
      <c r="V280">
        <v>44</v>
      </c>
      <c r="W280">
        <v>38</v>
      </c>
      <c r="X280">
        <v>43</v>
      </c>
      <c r="Y280">
        <v>18</v>
      </c>
      <c r="Z280">
        <v>46</v>
      </c>
      <c r="AA280">
        <v>72</v>
      </c>
      <c r="AB280">
        <v>22</v>
      </c>
      <c r="AC280">
        <v>28</v>
      </c>
      <c r="AD280">
        <v>49</v>
      </c>
      <c r="AE280">
        <v>45</v>
      </c>
      <c r="AF280">
        <v>34</v>
      </c>
      <c r="AG280">
        <v>48</v>
      </c>
      <c r="AH280">
        <v>42</v>
      </c>
      <c r="AI280">
        <v>30</v>
      </c>
      <c r="AJ280">
        <v>32</v>
      </c>
      <c r="AK280">
        <v>111</v>
      </c>
      <c r="AL280">
        <v>27</v>
      </c>
      <c r="AM280">
        <v>51</v>
      </c>
      <c r="AN280">
        <v>43</v>
      </c>
      <c r="AO280">
        <v>34</v>
      </c>
      <c r="AP280">
        <v>22</v>
      </c>
      <c r="AQ280">
        <v>32</v>
      </c>
      <c r="AR280">
        <v>25</v>
      </c>
      <c r="AS280">
        <v>34</v>
      </c>
      <c r="AT280">
        <v>77</v>
      </c>
      <c r="AU280">
        <v>43</v>
      </c>
      <c r="AV280">
        <v>18</v>
      </c>
      <c r="AW280">
        <v>53</v>
      </c>
      <c r="AX280">
        <v>17</v>
      </c>
      <c r="AY280">
        <v>50</v>
      </c>
      <c r="AZ280">
        <v>26</v>
      </c>
      <c r="BA280">
        <v>10</v>
      </c>
      <c r="BB280">
        <v>41</v>
      </c>
      <c r="BC280">
        <v>27</v>
      </c>
      <c r="BD280">
        <v>79</v>
      </c>
      <c r="BE280">
        <v>33</v>
      </c>
      <c r="BF280">
        <v>42</v>
      </c>
      <c r="BG280">
        <v>69</v>
      </c>
      <c r="BH280">
        <v>43</v>
      </c>
      <c r="BI280">
        <v>52</v>
      </c>
      <c r="BJ280">
        <v>27</v>
      </c>
      <c r="BK280">
        <v>26</v>
      </c>
      <c r="BL280">
        <v>42</v>
      </c>
      <c r="BM280">
        <v>18</v>
      </c>
      <c r="BN280">
        <v>57</v>
      </c>
      <c r="BO280">
        <v>77</v>
      </c>
      <c r="BP280">
        <v>11</v>
      </c>
      <c r="BQ280">
        <v>26</v>
      </c>
      <c r="BR280">
        <v>41</v>
      </c>
      <c r="BS280">
        <v>60</v>
      </c>
      <c r="BU280" s="1">
        <f>AVERAGE(Table9[[#This Row],[1-Jan-21]:[1-Dec-25]])</f>
        <v>41.083333333333336</v>
      </c>
    </row>
    <row r="281" spans="1:73" x14ac:dyDescent="0.55000000000000004">
      <c r="A281">
        <v>280</v>
      </c>
      <c r="B281" t="s">
        <v>71</v>
      </c>
      <c r="C281" t="s">
        <v>72</v>
      </c>
      <c r="D281" t="s">
        <v>73</v>
      </c>
      <c r="E281" t="s">
        <v>87</v>
      </c>
      <c r="F281">
        <v>107661</v>
      </c>
      <c r="G281" t="s">
        <v>411</v>
      </c>
      <c r="H281" t="s">
        <v>76</v>
      </c>
      <c r="I281" t="s">
        <v>80</v>
      </c>
      <c r="J281">
        <v>56.51</v>
      </c>
      <c r="K281">
        <v>15</v>
      </c>
      <c r="L281">
        <v>0</v>
      </c>
      <c r="M281">
        <v>78</v>
      </c>
      <c r="N281">
        <v>0</v>
      </c>
      <c r="O281">
        <v>35</v>
      </c>
      <c r="P281">
        <v>48</v>
      </c>
      <c r="Q281">
        <v>39</v>
      </c>
      <c r="R281">
        <v>0</v>
      </c>
      <c r="S281">
        <v>0</v>
      </c>
      <c r="T281">
        <v>6</v>
      </c>
      <c r="U281">
        <v>22</v>
      </c>
      <c r="V281">
        <v>27</v>
      </c>
      <c r="W281">
        <v>13</v>
      </c>
      <c r="X281">
        <v>20</v>
      </c>
      <c r="Y281">
        <v>100</v>
      </c>
      <c r="Z281">
        <v>15</v>
      </c>
      <c r="AA281">
        <v>23</v>
      </c>
      <c r="AB281">
        <v>16</v>
      </c>
      <c r="AC281">
        <v>0</v>
      </c>
      <c r="AD281">
        <v>0</v>
      </c>
      <c r="AE281">
        <v>12</v>
      </c>
      <c r="AF281">
        <v>18</v>
      </c>
      <c r="AG281">
        <v>23</v>
      </c>
      <c r="AH281">
        <v>0</v>
      </c>
      <c r="AI281">
        <v>0</v>
      </c>
      <c r="AJ281">
        <v>0</v>
      </c>
      <c r="AK281">
        <v>0</v>
      </c>
      <c r="AL281">
        <v>11</v>
      </c>
      <c r="AM281">
        <v>10</v>
      </c>
      <c r="AN281">
        <v>5</v>
      </c>
      <c r="AO281">
        <v>15</v>
      </c>
      <c r="AP281">
        <v>0</v>
      </c>
      <c r="AQ281">
        <v>9</v>
      </c>
      <c r="AR281">
        <v>0</v>
      </c>
      <c r="AS281">
        <v>2</v>
      </c>
      <c r="AT281">
        <v>0</v>
      </c>
      <c r="AU281">
        <v>30</v>
      </c>
      <c r="AV281">
        <v>4</v>
      </c>
      <c r="AW281">
        <v>18</v>
      </c>
      <c r="AX281">
        <v>0</v>
      </c>
      <c r="AY281">
        <v>34</v>
      </c>
      <c r="AZ281">
        <v>10</v>
      </c>
      <c r="BA281">
        <v>40</v>
      </c>
      <c r="BB281">
        <v>30</v>
      </c>
      <c r="BC281">
        <v>42</v>
      </c>
      <c r="BD281">
        <v>94</v>
      </c>
      <c r="BE281">
        <v>74</v>
      </c>
      <c r="BF281">
        <v>70</v>
      </c>
      <c r="BG281">
        <v>24</v>
      </c>
      <c r="BH281">
        <v>6</v>
      </c>
      <c r="BI281">
        <v>8</v>
      </c>
      <c r="BJ281">
        <v>28</v>
      </c>
      <c r="BK281">
        <v>171</v>
      </c>
      <c r="BL281">
        <v>0</v>
      </c>
      <c r="BM281">
        <v>112</v>
      </c>
      <c r="BN281">
        <v>40</v>
      </c>
      <c r="BO281">
        <v>40</v>
      </c>
      <c r="BP281">
        <v>118</v>
      </c>
      <c r="BQ281">
        <v>50</v>
      </c>
      <c r="BR281">
        <v>16</v>
      </c>
      <c r="BS281">
        <v>45</v>
      </c>
      <c r="BU281" s="1">
        <f>AVERAGE(Table9[[#This Row],[1-Jan-21]:[1-Dec-25]])</f>
        <v>27.016666666666666</v>
      </c>
    </row>
    <row r="282" spans="1:73" x14ac:dyDescent="0.55000000000000004">
      <c r="A282">
        <v>281</v>
      </c>
      <c r="B282" t="s">
        <v>71</v>
      </c>
      <c r="C282" t="s">
        <v>72</v>
      </c>
      <c r="D282" t="s">
        <v>73</v>
      </c>
      <c r="E282" t="s">
        <v>161</v>
      </c>
      <c r="F282">
        <v>110579</v>
      </c>
      <c r="G282" t="s">
        <v>412</v>
      </c>
      <c r="H282" t="s">
        <v>76</v>
      </c>
      <c r="I282" t="s">
        <v>80</v>
      </c>
      <c r="J282">
        <v>83.65</v>
      </c>
      <c r="K282">
        <v>14</v>
      </c>
      <c r="L282">
        <v>10</v>
      </c>
      <c r="M282">
        <v>19</v>
      </c>
      <c r="N282">
        <v>2</v>
      </c>
      <c r="O282">
        <v>8</v>
      </c>
      <c r="P282">
        <v>23</v>
      </c>
      <c r="Q282">
        <v>17</v>
      </c>
      <c r="R282">
        <v>16</v>
      </c>
      <c r="S282">
        <v>8</v>
      </c>
      <c r="T282">
        <v>19</v>
      </c>
      <c r="U282">
        <v>4</v>
      </c>
      <c r="V282">
        <v>4</v>
      </c>
      <c r="W282">
        <v>10</v>
      </c>
      <c r="X282">
        <v>17</v>
      </c>
      <c r="Y282">
        <v>8</v>
      </c>
      <c r="Z282">
        <v>8</v>
      </c>
      <c r="AA282">
        <v>15</v>
      </c>
      <c r="AB282">
        <v>0</v>
      </c>
      <c r="AC282">
        <v>6</v>
      </c>
      <c r="AD282">
        <v>4</v>
      </c>
      <c r="AE282">
        <v>21</v>
      </c>
      <c r="AF282">
        <v>2</v>
      </c>
      <c r="AG282">
        <v>13</v>
      </c>
      <c r="AH282">
        <v>10</v>
      </c>
      <c r="AI282">
        <v>4</v>
      </c>
      <c r="AJ282">
        <v>14</v>
      </c>
      <c r="AK282">
        <v>12</v>
      </c>
      <c r="AL282">
        <v>6</v>
      </c>
      <c r="AM282">
        <v>17</v>
      </c>
      <c r="AN282">
        <v>2</v>
      </c>
      <c r="AO282">
        <v>12</v>
      </c>
      <c r="AP282">
        <v>4</v>
      </c>
      <c r="AQ282">
        <v>18</v>
      </c>
      <c r="AR282">
        <v>6</v>
      </c>
      <c r="AS282">
        <v>11</v>
      </c>
      <c r="AT282">
        <v>4</v>
      </c>
      <c r="AU282">
        <v>32</v>
      </c>
      <c r="AV282">
        <v>11</v>
      </c>
      <c r="AW282">
        <v>40</v>
      </c>
      <c r="AX282">
        <v>0</v>
      </c>
      <c r="AY282">
        <v>79</v>
      </c>
      <c r="AZ282">
        <v>10</v>
      </c>
      <c r="BA282">
        <v>12</v>
      </c>
      <c r="BB282">
        <v>28</v>
      </c>
      <c r="BC282">
        <v>14</v>
      </c>
      <c r="BD282">
        <v>53</v>
      </c>
      <c r="BE282">
        <v>26</v>
      </c>
      <c r="BF282">
        <v>8</v>
      </c>
      <c r="BG282">
        <v>18</v>
      </c>
      <c r="BH282">
        <v>20</v>
      </c>
      <c r="BI282">
        <v>40</v>
      </c>
      <c r="BJ282">
        <v>32</v>
      </c>
      <c r="BK282">
        <v>13</v>
      </c>
      <c r="BL282">
        <v>6</v>
      </c>
      <c r="BM282">
        <v>52</v>
      </c>
      <c r="BN282">
        <v>0</v>
      </c>
      <c r="BO282">
        <v>24</v>
      </c>
      <c r="BP282">
        <v>0</v>
      </c>
      <c r="BQ282">
        <v>8</v>
      </c>
      <c r="BR282">
        <v>4</v>
      </c>
      <c r="BS282">
        <v>56</v>
      </c>
      <c r="BU282" s="1">
        <f>AVERAGE(Table9[[#This Row],[1-Jan-21]:[1-Dec-25]])</f>
        <v>14.966666666666667</v>
      </c>
    </row>
    <row r="283" spans="1:73" x14ac:dyDescent="0.55000000000000004">
      <c r="A283">
        <v>282</v>
      </c>
      <c r="B283" t="s">
        <v>71</v>
      </c>
      <c r="C283" t="s">
        <v>72</v>
      </c>
      <c r="D283" t="s">
        <v>73</v>
      </c>
      <c r="E283" t="s">
        <v>145</v>
      </c>
      <c r="F283">
        <v>110050</v>
      </c>
      <c r="G283" t="s">
        <v>413</v>
      </c>
      <c r="H283" t="s">
        <v>76</v>
      </c>
      <c r="I283" t="s">
        <v>80</v>
      </c>
      <c r="J283">
        <v>18.559999999999999</v>
      </c>
      <c r="K283">
        <v>51</v>
      </c>
      <c r="L283">
        <v>145</v>
      </c>
      <c r="M283">
        <v>234</v>
      </c>
      <c r="N283">
        <v>104</v>
      </c>
      <c r="O283">
        <v>30</v>
      </c>
      <c r="P283">
        <v>289</v>
      </c>
      <c r="Q283">
        <v>158</v>
      </c>
      <c r="R283">
        <v>141</v>
      </c>
      <c r="S283">
        <v>30</v>
      </c>
      <c r="T283">
        <v>112</v>
      </c>
      <c r="U283">
        <v>72</v>
      </c>
      <c r="V283">
        <v>48</v>
      </c>
      <c r="W283">
        <v>56</v>
      </c>
      <c r="X283">
        <v>62</v>
      </c>
      <c r="Y283">
        <v>53</v>
      </c>
      <c r="Z283">
        <v>30</v>
      </c>
      <c r="AA283">
        <v>10</v>
      </c>
      <c r="AB283">
        <v>30</v>
      </c>
      <c r="AC283">
        <v>80</v>
      </c>
      <c r="AD283">
        <v>14</v>
      </c>
      <c r="AE283">
        <v>110</v>
      </c>
      <c r="AF283">
        <v>18</v>
      </c>
      <c r="AG283">
        <v>151</v>
      </c>
      <c r="AH283">
        <v>42</v>
      </c>
      <c r="AI283">
        <v>37</v>
      </c>
      <c r="AJ283">
        <v>31</v>
      </c>
      <c r="AK283">
        <v>58</v>
      </c>
      <c r="AL283">
        <v>0</v>
      </c>
      <c r="AM283">
        <v>1</v>
      </c>
      <c r="AN283">
        <v>11</v>
      </c>
      <c r="AO283">
        <v>27</v>
      </c>
      <c r="AP283">
        <v>42</v>
      </c>
      <c r="AQ283">
        <v>17</v>
      </c>
      <c r="AR283">
        <v>34</v>
      </c>
      <c r="AS283">
        <v>28</v>
      </c>
      <c r="AT283">
        <v>47</v>
      </c>
      <c r="AU283">
        <v>141</v>
      </c>
      <c r="AV283">
        <v>133</v>
      </c>
      <c r="AW283">
        <v>0</v>
      </c>
      <c r="AX283">
        <v>32</v>
      </c>
      <c r="AY283">
        <v>20</v>
      </c>
      <c r="AZ283">
        <v>36</v>
      </c>
      <c r="BA283">
        <v>54</v>
      </c>
      <c r="BB283">
        <v>2</v>
      </c>
      <c r="BC283">
        <v>32</v>
      </c>
      <c r="BD283">
        <v>23</v>
      </c>
      <c r="BE283">
        <v>60</v>
      </c>
      <c r="BF283">
        <v>37</v>
      </c>
      <c r="BG283">
        <v>45</v>
      </c>
      <c r="BH283">
        <v>18</v>
      </c>
      <c r="BI283">
        <v>9</v>
      </c>
      <c r="BJ283">
        <v>19</v>
      </c>
      <c r="BK283">
        <v>20</v>
      </c>
      <c r="BL283">
        <v>15</v>
      </c>
      <c r="BM283">
        <v>6</v>
      </c>
      <c r="BN283">
        <v>50</v>
      </c>
      <c r="BO283">
        <v>10</v>
      </c>
      <c r="BP283">
        <v>36</v>
      </c>
      <c r="BQ283">
        <v>48</v>
      </c>
      <c r="BR283">
        <v>6</v>
      </c>
      <c r="BS283">
        <v>58</v>
      </c>
      <c r="BU283" s="1">
        <f>AVERAGE(Table9[[#This Row],[1-Jan-21]:[1-Dec-25]])</f>
        <v>54.25</v>
      </c>
    </row>
    <row r="284" spans="1:73" x14ac:dyDescent="0.55000000000000004">
      <c r="A284">
        <v>283</v>
      </c>
      <c r="B284" t="s">
        <v>71</v>
      </c>
      <c r="C284" t="s">
        <v>72</v>
      </c>
      <c r="D284" t="s">
        <v>73</v>
      </c>
      <c r="E284" t="s">
        <v>81</v>
      </c>
      <c r="F284">
        <v>111283</v>
      </c>
      <c r="G284" t="s">
        <v>414</v>
      </c>
      <c r="H284" t="s">
        <v>76</v>
      </c>
      <c r="I284" t="s">
        <v>80</v>
      </c>
      <c r="J284">
        <v>61.01</v>
      </c>
      <c r="K284">
        <v>21</v>
      </c>
      <c r="L284">
        <v>23</v>
      </c>
      <c r="M284">
        <v>21</v>
      </c>
      <c r="N284">
        <v>11</v>
      </c>
      <c r="O284">
        <v>18</v>
      </c>
      <c r="P284">
        <v>23</v>
      </c>
      <c r="Q284">
        <v>4</v>
      </c>
      <c r="R284">
        <v>34</v>
      </c>
      <c r="S284">
        <v>18</v>
      </c>
      <c r="T284">
        <v>34</v>
      </c>
      <c r="U284">
        <v>33</v>
      </c>
      <c r="V284">
        <v>16</v>
      </c>
      <c r="W284">
        <v>24</v>
      </c>
      <c r="X284">
        <v>20</v>
      </c>
      <c r="Y284">
        <v>53</v>
      </c>
      <c r="Z284">
        <v>4</v>
      </c>
      <c r="AA284">
        <v>42</v>
      </c>
      <c r="AB284">
        <v>16</v>
      </c>
      <c r="AC284">
        <v>6</v>
      </c>
      <c r="AD284">
        <v>2</v>
      </c>
      <c r="AE284">
        <v>28</v>
      </c>
      <c r="AF284">
        <v>17</v>
      </c>
      <c r="AG284">
        <v>20</v>
      </c>
      <c r="AH284">
        <v>6</v>
      </c>
      <c r="AI284">
        <v>11</v>
      </c>
      <c r="AJ284">
        <v>22</v>
      </c>
      <c r="AK284">
        <v>11</v>
      </c>
      <c r="AL284">
        <v>4</v>
      </c>
      <c r="AM284">
        <v>8</v>
      </c>
      <c r="AN284">
        <v>1</v>
      </c>
      <c r="AO284">
        <v>2</v>
      </c>
      <c r="AP284">
        <v>0</v>
      </c>
      <c r="AQ284">
        <v>5</v>
      </c>
      <c r="AR284">
        <v>13</v>
      </c>
      <c r="AS284">
        <v>8</v>
      </c>
      <c r="AT284">
        <v>7</v>
      </c>
      <c r="AU284">
        <v>29</v>
      </c>
      <c r="AV284">
        <v>3</v>
      </c>
      <c r="AW284">
        <v>1</v>
      </c>
      <c r="AX284">
        <v>9</v>
      </c>
      <c r="AY284">
        <v>7</v>
      </c>
      <c r="AZ284">
        <v>8</v>
      </c>
      <c r="BA284">
        <v>27</v>
      </c>
      <c r="BB284">
        <v>2</v>
      </c>
      <c r="BC284">
        <v>8</v>
      </c>
      <c r="BD284">
        <v>26</v>
      </c>
      <c r="BE284">
        <v>20</v>
      </c>
      <c r="BF284">
        <v>10</v>
      </c>
      <c r="BG284">
        <v>29</v>
      </c>
      <c r="BH284">
        <v>21</v>
      </c>
      <c r="BI284">
        <v>21</v>
      </c>
      <c r="BJ284">
        <v>11</v>
      </c>
      <c r="BK284">
        <v>49</v>
      </c>
      <c r="BL284">
        <v>4</v>
      </c>
      <c r="BM284">
        <v>14</v>
      </c>
      <c r="BN284">
        <v>21</v>
      </c>
      <c r="BO284">
        <v>6</v>
      </c>
      <c r="BP284">
        <v>14</v>
      </c>
      <c r="BQ284">
        <v>16</v>
      </c>
      <c r="BR284">
        <v>20</v>
      </c>
      <c r="BS284">
        <v>59</v>
      </c>
      <c r="BU284" s="1">
        <f>AVERAGE(Table9[[#This Row],[1-Jan-21]:[1-Dec-25]])</f>
        <v>16.033333333333335</v>
      </c>
    </row>
    <row r="285" spans="1:73" x14ac:dyDescent="0.55000000000000004">
      <c r="A285">
        <v>284</v>
      </c>
      <c r="B285" t="s">
        <v>71</v>
      </c>
      <c r="C285" t="s">
        <v>72</v>
      </c>
      <c r="D285" t="s">
        <v>73</v>
      </c>
      <c r="E285" t="s">
        <v>163</v>
      </c>
      <c r="F285">
        <v>109188</v>
      </c>
      <c r="G285" t="s">
        <v>415</v>
      </c>
      <c r="H285" t="s">
        <v>76</v>
      </c>
      <c r="I285" t="s">
        <v>80</v>
      </c>
      <c r="J285">
        <v>4.6500000000000004</v>
      </c>
      <c r="K285">
        <v>72</v>
      </c>
      <c r="L285">
        <v>100</v>
      </c>
      <c r="M285">
        <v>220</v>
      </c>
      <c r="N285">
        <v>175</v>
      </c>
      <c r="O285">
        <v>173</v>
      </c>
      <c r="P285">
        <v>60</v>
      </c>
      <c r="Q285">
        <v>10</v>
      </c>
      <c r="R285">
        <v>620</v>
      </c>
      <c r="S285">
        <v>72</v>
      </c>
      <c r="T285">
        <v>106</v>
      </c>
      <c r="U285">
        <v>174</v>
      </c>
      <c r="V285">
        <v>163</v>
      </c>
      <c r="W285">
        <v>125</v>
      </c>
      <c r="X285">
        <v>175</v>
      </c>
      <c r="Y285">
        <v>130</v>
      </c>
      <c r="Z285">
        <v>415</v>
      </c>
      <c r="AA285">
        <v>100</v>
      </c>
      <c r="AB285">
        <v>96</v>
      </c>
      <c r="AC285">
        <v>20</v>
      </c>
      <c r="AD285">
        <v>100</v>
      </c>
      <c r="AE285">
        <v>100</v>
      </c>
      <c r="AF285">
        <v>156</v>
      </c>
      <c r="AG285">
        <v>65</v>
      </c>
      <c r="AH285">
        <v>123</v>
      </c>
      <c r="AI285">
        <v>154</v>
      </c>
      <c r="AJ285">
        <v>140</v>
      </c>
      <c r="AK285">
        <v>0</v>
      </c>
      <c r="AL285">
        <v>6</v>
      </c>
      <c r="AM285">
        <v>394</v>
      </c>
      <c r="AN285">
        <v>76</v>
      </c>
      <c r="AO285">
        <v>90</v>
      </c>
      <c r="AP285">
        <v>160</v>
      </c>
      <c r="AQ285">
        <v>130</v>
      </c>
      <c r="AR285">
        <v>111</v>
      </c>
      <c r="AS285">
        <v>70</v>
      </c>
      <c r="AT285">
        <v>35</v>
      </c>
      <c r="AU285">
        <v>121</v>
      </c>
      <c r="AV285">
        <v>240</v>
      </c>
      <c r="AW285">
        <v>104</v>
      </c>
      <c r="AX285">
        <v>10</v>
      </c>
      <c r="AY285">
        <v>79</v>
      </c>
      <c r="AZ285">
        <v>60</v>
      </c>
      <c r="BA285">
        <v>15</v>
      </c>
      <c r="BB285">
        <v>54</v>
      </c>
      <c r="BC285">
        <v>157</v>
      </c>
      <c r="BD285">
        <v>88</v>
      </c>
      <c r="BE285">
        <v>24</v>
      </c>
      <c r="BF285">
        <v>150</v>
      </c>
      <c r="BG285">
        <v>127</v>
      </c>
      <c r="BH285">
        <v>140</v>
      </c>
      <c r="BI285">
        <v>85</v>
      </c>
      <c r="BJ285">
        <v>125</v>
      </c>
      <c r="BK285">
        <v>150</v>
      </c>
      <c r="BL285">
        <v>408</v>
      </c>
      <c r="BM285">
        <v>382</v>
      </c>
      <c r="BN285">
        <v>125</v>
      </c>
      <c r="BO285">
        <v>96</v>
      </c>
      <c r="BP285">
        <v>35</v>
      </c>
      <c r="BQ285">
        <v>32</v>
      </c>
      <c r="BR285">
        <v>95</v>
      </c>
      <c r="BS285">
        <v>59</v>
      </c>
      <c r="BU285" s="1">
        <f>AVERAGE(Table9[[#This Row],[1-Jan-21]:[1-Dec-25]])</f>
        <v>130.30000000000001</v>
      </c>
    </row>
    <row r="286" spans="1:73" x14ac:dyDescent="0.55000000000000004">
      <c r="A286">
        <v>285</v>
      </c>
      <c r="B286" t="s">
        <v>71</v>
      </c>
      <c r="C286" t="s">
        <v>72</v>
      </c>
      <c r="D286" t="s">
        <v>73</v>
      </c>
      <c r="E286" t="s">
        <v>96</v>
      </c>
      <c r="F286">
        <v>109117</v>
      </c>
      <c r="G286" t="s">
        <v>416</v>
      </c>
      <c r="H286" t="s">
        <v>76</v>
      </c>
      <c r="I286" t="s">
        <v>80</v>
      </c>
      <c r="J286">
        <v>110</v>
      </c>
      <c r="K286">
        <v>88</v>
      </c>
      <c r="L286">
        <v>52</v>
      </c>
      <c r="M286">
        <v>89</v>
      </c>
      <c r="N286">
        <v>80</v>
      </c>
      <c r="O286">
        <v>64</v>
      </c>
      <c r="P286">
        <v>85</v>
      </c>
      <c r="Q286">
        <v>59</v>
      </c>
      <c r="R286">
        <v>91</v>
      </c>
      <c r="S286">
        <v>92</v>
      </c>
      <c r="T286">
        <v>114</v>
      </c>
      <c r="U286">
        <v>116</v>
      </c>
      <c r="V286">
        <v>90</v>
      </c>
      <c r="W286">
        <v>60</v>
      </c>
      <c r="X286">
        <v>89</v>
      </c>
      <c r="Y286">
        <v>129</v>
      </c>
      <c r="Z286">
        <v>97</v>
      </c>
      <c r="AA286">
        <v>96</v>
      </c>
      <c r="AB286">
        <v>108</v>
      </c>
      <c r="AC286">
        <v>35</v>
      </c>
      <c r="AD286">
        <v>58</v>
      </c>
      <c r="AE286">
        <v>95</v>
      </c>
      <c r="AF286">
        <v>93</v>
      </c>
      <c r="AG286">
        <v>69</v>
      </c>
      <c r="AH286">
        <v>46</v>
      </c>
      <c r="AI286">
        <v>87</v>
      </c>
      <c r="AJ286">
        <v>59</v>
      </c>
      <c r="AK286">
        <v>90</v>
      </c>
      <c r="AL286">
        <v>65</v>
      </c>
      <c r="AM286">
        <v>114</v>
      </c>
      <c r="AN286">
        <v>95</v>
      </c>
      <c r="AO286">
        <v>84</v>
      </c>
      <c r="AP286">
        <v>74</v>
      </c>
      <c r="AQ286">
        <v>73</v>
      </c>
      <c r="AR286">
        <v>51</v>
      </c>
      <c r="AS286">
        <v>92</v>
      </c>
      <c r="AT286">
        <v>70</v>
      </c>
      <c r="AU286">
        <v>94</v>
      </c>
      <c r="AV286">
        <v>52</v>
      </c>
      <c r="AW286">
        <v>104</v>
      </c>
      <c r="AX286">
        <v>91</v>
      </c>
      <c r="AY286">
        <v>152</v>
      </c>
      <c r="AZ286">
        <v>97</v>
      </c>
      <c r="BA286">
        <v>65</v>
      </c>
      <c r="BB286">
        <v>45</v>
      </c>
      <c r="BC286">
        <v>99</v>
      </c>
      <c r="BD286">
        <v>79</v>
      </c>
      <c r="BE286">
        <v>72</v>
      </c>
      <c r="BF286">
        <v>82</v>
      </c>
      <c r="BG286">
        <v>90</v>
      </c>
      <c r="BH286">
        <v>151</v>
      </c>
      <c r="BI286">
        <v>62</v>
      </c>
      <c r="BJ286">
        <v>117</v>
      </c>
      <c r="BK286">
        <v>77</v>
      </c>
      <c r="BL286">
        <v>44</v>
      </c>
      <c r="BM286">
        <v>114</v>
      </c>
      <c r="BN286">
        <v>62</v>
      </c>
      <c r="BO286">
        <v>101</v>
      </c>
      <c r="BP286">
        <v>62</v>
      </c>
      <c r="BQ286">
        <v>71</v>
      </c>
      <c r="BR286">
        <v>27</v>
      </c>
      <c r="BS286">
        <v>60</v>
      </c>
      <c r="BU286" s="1">
        <f>AVERAGE(Table9[[#This Row],[1-Jan-21]:[1-Dec-25]])</f>
        <v>82.65</v>
      </c>
    </row>
    <row r="287" spans="1:73" x14ac:dyDescent="0.55000000000000004">
      <c r="A287">
        <v>286</v>
      </c>
      <c r="B287" t="s">
        <v>71</v>
      </c>
      <c r="C287" t="s">
        <v>72</v>
      </c>
      <c r="D287" t="s">
        <v>73</v>
      </c>
      <c r="E287" t="s">
        <v>114</v>
      </c>
      <c r="F287">
        <v>109642</v>
      </c>
      <c r="G287" t="s">
        <v>417</v>
      </c>
      <c r="H287" t="s">
        <v>76</v>
      </c>
      <c r="I287" t="s">
        <v>80</v>
      </c>
      <c r="J287">
        <v>39.08</v>
      </c>
      <c r="K287">
        <v>620</v>
      </c>
      <c r="L287">
        <v>400</v>
      </c>
      <c r="M287">
        <v>370</v>
      </c>
      <c r="N287">
        <v>955</v>
      </c>
      <c r="O287">
        <v>625</v>
      </c>
      <c r="P287">
        <v>460</v>
      </c>
      <c r="Q287">
        <v>470</v>
      </c>
      <c r="R287">
        <v>220</v>
      </c>
      <c r="S287">
        <v>500</v>
      </c>
      <c r="T287">
        <v>635</v>
      </c>
      <c r="U287">
        <v>395</v>
      </c>
      <c r="V287">
        <v>400</v>
      </c>
      <c r="W287">
        <v>200</v>
      </c>
      <c r="X287">
        <v>341</v>
      </c>
      <c r="Y287">
        <v>103</v>
      </c>
      <c r="Z287">
        <v>204</v>
      </c>
      <c r="AA287">
        <v>400</v>
      </c>
      <c r="AB287">
        <v>500</v>
      </c>
      <c r="AC287">
        <v>135</v>
      </c>
      <c r="AD287">
        <v>410</v>
      </c>
      <c r="AE287">
        <v>67</v>
      </c>
      <c r="AF287">
        <v>434</v>
      </c>
      <c r="AG287">
        <v>280</v>
      </c>
      <c r="AH287">
        <v>150</v>
      </c>
      <c r="AI287">
        <v>130</v>
      </c>
      <c r="AJ287">
        <v>50</v>
      </c>
      <c r="AK287">
        <v>139</v>
      </c>
      <c r="AL287">
        <v>290</v>
      </c>
      <c r="AM287">
        <v>320</v>
      </c>
      <c r="AN287">
        <v>250</v>
      </c>
      <c r="AO287">
        <v>490</v>
      </c>
      <c r="AP287">
        <v>160</v>
      </c>
      <c r="AQ287">
        <v>120</v>
      </c>
      <c r="AR287">
        <v>240</v>
      </c>
      <c r="AS287">
        <v>50</v>
      </c>
      <c r="AT287">
        <v>250</v>
      </c>
      <c r="AU287">
        <v>286</v>
      </c>
      <c r="AV287">
        <v>100</v>
      </c>
      <c r="AW287">
        <v>250</v>
      </c>
      <c r="AX287">
        <v>300</v>
      </c>
      <c r="AY287">
        <v>200</v>
      </c>
      <c r="AZ287">
        <v>134</v>
      </c>
      <c r="BA287">
        <v>50</v>
      </c>
      <c r="BB287">
        <v>50</v>
      </c>
      <c r="BC287">
        <v>110</v>
      </c>
      <c r="BD287">
        <v>200</v>
      </c>
      <c r="BE287">
        <v>130</v>
      </c>
      <c r="BF287">
        <v>100</v>
      </c>
      <c r="BG287">
        <v>260</v>
      </c>
      <c r="BH287">
        <v>300</v>
      </c>
      <c r="BI287">
        <v>150</v>
      </c>
      <c r="BJ287">
        <v>180</v>
      </c>
      <c r="BK287">
        <v>294</v>
      </c>
      <c r="BL287">
        <v>200</v>
      </c>
      <c r="BM287">
        <v>470</v>
      </c>
      <c r="BN287">
        <v>122</v>
      </c>
      <c r="BO287">
        <v>167</v>
      </c>
      <c r="BP287">
        <v>200</v>
      </c>
      <c r="BQ287">
        <v>30</v>
      </c>
      <c r="BR287">
        <v>340</v>
      </c>
      <c r="BS287">
        <v>60</v>
      </c>
      <c r="BU287" s="1">
        <f>AVERAGE(Table9[[#This Row],[1-Jan-21]:[1-Dec-25]])</f>
        <v>273.10000000000002</v>
      </c>
    </row>
    <row r="288" spans="1:73" x14ac:dyDescent="0.55000000000000004">
      <c r="A288">
        <v>287</v>
      </c>
      <c r="B288" t="s">
        <v>71</v>
      </c>
      <c r="C288" t="s">
        <v>72</v>
      </c>
      <c r="D288" t="s">
        <v>73</v>
      </c>
      <c r="E288" t="s">
        <v>170</v>
      </c>
      <c r="F288">
        <v>110438</v>
      </c>
      <c r="G288" t="s">
        <v>418</v>
      </c>
      <c r="H288" t="s">
        <v>76</v>
      </c>
      <c r="I288" t="s">
        <v>105</v>
      </c>
      <c r="J288">
        <v>15.7</v>
      </c>
      <c r="K288">
        <v>3181</v>
      </c>
      <c r="L288">
        <v>2675</v>
      </c>
      <c r="M288">
        <v>4512</v>
      </c>
      <c r="N288">
        <v>3841</v>
      </c>
      <c r="O288">
        <v>2870</v>
      </c>
      <c r="P288">
        <v>5123</v>
      </c>
      <c r="Q288">
        <v>2623</v>
      </c>
      <c r="R288">
        <v>3384</v>
      </c>
      <c r="S288">
        <v>4878</v>
      </c>
      <c r="T288">
        <v>5620</v>
      </c>
      <c r="U288">
        <v>2790</v>
      </c>
      <c r="V288">
        <v>3516</v>
      </c>
      <c r="W288">
        <v>3413</v>
      </c>
      <c r="X288">
        <v>3569</v>
      </c>
      <c r="Y288">
        <v>5481</v>
      </c>
      <c r="Z288">
        <v>4129</v>
      </c>
      <c r="AA288">
        <v>3565</v>
      </c>
      <c r="AB288">
        <v>4975</v>
      </c>
      <c r="AC288">
        <v>1854</v>
      </c>
      <c r="AD288">
        <v>1996</v>
      </c>
      <c r="AE288">
        <v>5607</v>
      </c>
      <c r="AF288">
        <v>3278</v>
      </c>
      <c r="AG288">
        <v>3265</v>
      </c>
      <c r="AH288">
        <v>1699</v>
      </c>
      <c r="AI288">
        <v>3178</v>
      </c>
      <c r="AJ288">
        <v>3085</v>
      </c>
      <c r="AK288">
        <v>3400</v>
      </c>
      <c r="AL288">
        <v>3147</v>
      </c>
      <c r="AM288">
        <v>3239</v>
      </c>
      <c r="AN288">
        <v>2650</v>
      </c>
      <c r="AO288">
        <v>4954</v>
      </c>
      <c r="AP288">
        <v>3215.5</v>
      </c>
      <c r="AQ288">
        <v>3953</v>
      </c>
      <c r="AR288">
        <v>3027</v>
      </c>
      <c r="AS288">
        <v>3562</v>
      </c>
      <c r="AT288">
        <v>2805</v>
      </c>
      <c r="AU288">
        <v>2512</v>
      </c>
      <c r="AV288">
        <v>3494</v>
      </c>
      <c r="AW288">
        <v>3701</v>
      </c>
      <c r="AX288">
        <v>3960</v>
      </c>
      <c r="AY288">
        <v>5148</v>
      </c>
      <c r="AZ288">
        <v>2532</v>
      </c>
      <c r="BA288">
        <v>3757</v>
      </c>
      <c r="BB288">
        <v>3917</v>
      </c>
      <c r="BC288">
        <v>5999</v>
      </c>
      <c r="BD288">
        <v>4160</v>
      </c>
      <c r="BE288">
        <v>5373</v>
      </c>
      <c r="BF288">
        <v>4925</v>
      </c>
      <c r="BG288">
        <v>4067</v>
      </c>
      <c r="BH288">
        <v>4319</v>
      </c>
      <c r="BI288">
        <v>3764</v>
      </c>
      <c r="BJ288">
        <v>4618</v>
      </c>
      <c r="BK288">
        <v>4204</v>
      </c>
      <c r="BL288">
        <v>3320</v>
      </c>
      <c r="BM288">
        <v>3898</v>
      </c>
      <c r="BN288">
        <v>6593</v>
      </c>
      <c r="BO288">
        <v>5888</v>
      </c>
      <c r="BP288">
        <v>4604</v>
      </c>
      <c r="BQ288">
        <v>5192</v>
      </c>
      <c r="BR288">
        <v>2459</v>
      </c>
      <c r="BS288">
        <v>60</v>
      </c>
      <c r="BU288" s="1">
        <f>AVERAGE(Table9[[#This Row],[1-Jan-21]:[1-Dec-25]])</f>
        <v>3841.0583333333334</v>
      </c>
    </row>
    <row r="289" spans="1:73" x14ac:dyDescent="0.55000000000000004">
      <c r="A289">
        <v>288</v>
      </c>
      <c r="B289" t="s">
        <v>71</v>
      </c>
      <c r="C289" t="s">
        <v>72</v>
      </c>
      <c r="D289" t="s">
        <v>73</v>
      </c>
      <c r="E289" t="s">
        <v>170</v>
      </c>
      <c r="F289">
        <v>110439</v>
      </c>
      <c r="G289" t="s">
        <v>419</v>
      </c>
      <c r="H289" t="s">
        <v>76</v>
      </c>
      <c r="I289" t="s">
        <v>105</v>
      </c>
      <c r="J289">
        <v>19.690000000000001</v>
      </c>
      <c r="K289">
        <v>2920</v>
      </c>
      <c r="L289">
        <v>1940</v>
      </c>
      <c r="M289">
        <v>3223</v>
      </c>
      <c r="N289">
        <v>2438</v>
      </c>
      <c r="O289">
        <v>2191</v>
      </c>
      <c r="P289">
        <v>3572</v>
      </c>
      <c r="Q289">
        <v>1978</v>
      </c>
      <c r="R289">
        <v>1938</v>
      </c>
      <c r="S289">
        <v>3848</v>
      </c>
      <c r="T289">
        <v>4769</v>
      </c>
      <c r="U289">
        <v>2360</v>
      </c>
      <c r="V289">
        <v>2961</v>
      </c>
      <c r="W289">
        <v>2944</v>
      </c>
      <c r="X289">
        <v>2922</v>
      </c>
      <c r="Y289">
        <v>3854</v>
      </c>
      <c r="Z289">
        <v>4232</v>
      </c>
      <c r="AA289">
        <v>4644</v>
      </c>
      <c r="AB289">
        <v>3449</v>
      </c>
      <c r="AC289">
        <v>910</v>
      </c>
      <c r="AD289">
        <v>990</v>
      </c>
      <c r="AE289">
        <v>2441</v>
      </c>
      <c r="AF289">
        <v>1528</v>
      </c>
      <c r="AG289">
        <v>1582</v>
      </c>
      <c r="AH289">
        <v>1373</v>
      </c>
      <c r="AI289">
        <v>1764</v>
      </c>
      <c r="AJ289">
        <v>1965</v>
      </c>
      <c r="AK289">
        <v>2620</v>
      </c>
      <c r="AL289">
        <v>1195</v>
      </c>
      <c r="AM289">
        <v>2233</v>
      </c>
      <c r="AN289">
        <v>1425</v>
      </c>
      <c r="AO289">
        <v>2656</v>
      </c>
      <c r="AP289">
        <v>2088</v>
      </c>
      <c r="AQ289">
        <v>2053</v>
      </c>
      <c r="AR289">
        <v>1729</v>
      </c>
      <c r="AS289">
        <v>2683</v>
      </c>
      <c r="AT289">
        <v>1717</v>
      </c>
      <c r="AU289">
        <v>1373</v>
      </c>
      <c r="AV289">
        <v>2700</v>
      </c>
      <c r="AW289">
        <v>2179</v>
      </c>
      <c r="AX289">
        <v>3075</v>
      </c>
      <c r="AY289">
        <v>3295</v>
      </c>
      <c r="AZ289">
        <v>3306</v>
      </c>
      <c r="BA289">
        <v>1759</v>
      </c>
      <c r="BB289">
        <v>2223</v>
      </c>
      <c r="BC289">
        <v>3604</v>
      </c>
      <c r="BD289">
        <v>3291</v>
      </c>
      <c r="BE289">
        <v>3736</v>
      </c>
      <c r="BF289">
        <v>3004</v>
      </c>
      <c r="BG289">
        <v>3638</v>
      </c>
      <c r="BH289">
        <v>1900</v>
      </c>
      <c r="BI289">
        <v>2926</v>
      </c>
      <c r="BJ289">
        <v>3762</v>
      </c>
      <c r="BK289">
        <v>3657</v>
      </c>
      <c r="BL289">
        <v>2254</v>
      </c>
      <c r="BM289">
        <v>2169</v>
      </c>
      <c r="BN289">
        <v>2608</v>
      </c>
      <c r="BO289">
        <v>2938</v>
      </c>
      <c r="BP289">
        <v>3609</v>
      </c>
      <c r="BQ289">
        <v>1900</v>
      </c>
      <c r="BR289">
        <v>2207</v>
      </c>
      <c r="BS289">
        <v>60</v>
      </c>
      <c r="BU289" s="1">
        <f>AVERAGE(Table9[[#This Row],[1-Jan-21]:[1-Dec-25]])</f>
        <v>2604.1333333333332</v>
      </c>
    </row>
    <row r="290" spans="1:73" x14ac:dyDescent="0.55000000000000004">
      <c r="A290">
        <v>289</v>
      </c>
      <c r="B290" t="s">
        <v>71</v>
      </c>
      <c r="C290" t="s">
        <v>72</v>
      </c>
      <c r="D290" t="s">
        <v>73</v>
      </c>
      <c r="E290" t="s">
        <v>111</v>
      </c>
      <c r="F290">
        <v>109832</v>
      </c>
      <c r="G290" t="s">
        <v>420</v>
      </c>
      <c r="H290" t="s">
        <v>76</v>
      </c>
      <c r="I290" t="s">
        <v>105</v>
      </c>
      <c r="J290">
        <v>191.05</v>
      </c>
      <c r="K290">
        <v>15</v>
      </c>
      <c r="L290">
        <v>84</v>
      </c>
      <c r="M290">
        <v>44</v>
      </c>
      <c r="N290">
        <v>17</v>
      </c>
      <c r="O290">
        <v>30</v>
      </c>
      <c r="P290">
        <v>10</v>
      </c>
      <c r="Q290">
        <v>0</v>
      </c>
      <c r="R290">
        <v>20</v>
      </c>
      <c r="S290">
        <v>50</v>
      </c>
      <c r="T290">
        <v>97.5</v>
      </c>
      <c r="U290">
        <v>243</v>
      </c>
      <c r="V290">
        <v>52.25</v>
      </c>
      <c r="W290">
        <v>67</v>
      </c>
      <c r="X290">
        <v>119</v>
      </c>
      <c r="Y290">
        <v>15</v>
      </c>
      <c r="Z290">
        <v>174</v>
      </c>
      <c r="AA290">
        <v>86</v>
      </c>
      <c r="AB290">
        <v>0</v>
      </c>
      <c r="AC290">
        <v>20</v>
      </c>
      <c r="AD290">
        <v>10</v>
      </c>
      <c r="AE290">
        <v>40</v>
      </c>
      <c r="AF290">
        <v>53</v>
      </c>
      <c r="AG290">
        <v>0</v>
      </c>
      <c r="AH290">
        <v>0</v>
      </c>
      <c r="AI290">
        <v>216</v>
      </c>
      <c r="AJ290">
        <v>4</v>
      </c>
      <c r="AK290">
        <v>47.5</v>
      </c>
      <c r="AL290">
        <v>17</v>
      </c>
      <c r="AM290">
        <v>50</v>
      </c>
      <c r="AN290">
        <v>6</v>
      </c>
      <c r="AO290">
        <v>20</v>
      </c>
      <c r="AP290">
        <v>25</v>
      </c>
      <c r="AQ290">
        <v>5.5</v>
      </c>
      <c r="AR290">
        <v>0</v>
      </c>
      <c r="AS290">
        <v>20</v>
      </c>
      <c r="AT290">
        <v>25</v>
      </c>
      <c r="AU290">
        <v>6.5</v>
      </c>
      <c r="AV290">
        <v>36</v>
      </c>
      <c r="AW290">
        <v>34</v>
      </c>
      <c r="AX290">
        <v>0</v>
      </c>
      <c r="AY290">
        <v>60</v>
      </c>
      <c r="AZ290">
        <v>0</v>
      </c>
      <c r="BA290">
        <v>71</v>
      </c>
      <c r="BB290">
        <v>0</v>
      </c>
      <c r="BC290">
        <v>37.6</v>
      </c>
      <c r="BD290">
        <v>25</v>
      </c>
      <c r="BE290">
        <v>10</v>
      </c>
      <c r="BF290">
        <v>43</v>
      </c>
      <c r="BG290">
        <v>15</v>
      </c>
      <c r="BH290">
        <v>20</v>
      </c>
      <c r="BI290">
        <v>15</v>
      </c>
      <c r="BJ290">
        <v>9</v>
      </c>
      <c r="BK290">
        <v>0</v>
      </c>
      <c r="BL290">
        <v>20</v>
      </c>
      <c r="BM290">
        <v>10</v>
      </c>
      <c r="BN290">
        <v>36.4</v>
      </c>
      <c r="BO290">
        <v>46</v>
      </c>
      <c r="BP290">
        <v>0</v>
      </c>
      <c r="BQ290">
        <v>33</v>
      </c>
      <c r="BR290">
        <v>0</v>
      </c>
      <c r="BS290">
        <v>49</v>
      </c>
      <c r="BU290" s="1">
        <f>AVERAGE(Table9[[#This Row],[1-Jan-21]:[1-Dec-25]])</f>
        <v>36.837499999999999</v>
      </c>
    </row>
    <row r="291" spans="1:73" x14ac:dyDescent="0.55000000000000004">
      <c r="A291">
        <v>290</v>
      </c>
      <c r="B291" t="s">
        <v>71</v>
      </c>
      <c r="C291" t="s">
        <v>72</v>
      </c>
      <c r="D291" t="s">
        <v>73</v>
      </c>
      <c r="E291" t="s">
        <v>78</v>
      </c>
      <c r="F291">
        <v>187025</v>
      </c>
      <c r="G291" t="s">
        <v>421</v>
      </c>
      <c r="H291" t="s">
        <v>76</v>
      </c>
      <c r="I291" t="s">
        <v>80</v>
      </c>
      <c r="J291">
        <v>486.31</v>
      </c>
      <c r="K291">
        <v>12</v>
      </c>
      <c r="L291">
        <v>3</v>
      </c>
      <c r="M291">
        <v>8</v>
      </c>
      <c r="N291">
        <v>1</v>
      </c>
      <c r="O291">
        <v>0</v>
      </c>
      <c r="P291">
        <v>10</v>
      </c>
      <c r="Q291">
        <v>0</v>
      </c>
      <c r="R291">
        <v>4</v>
      </c>
      <c r="S291">
        <v>5</v>
      </c>
      <c r="T291">
        <v>14</v>
      </c>
      <c r="U291">
        <v>5</v>
      </c>
      <c r="V291">
        <v>5</v>
      </c>
      <c r="W291">
        <v>18</v>
      </c>
      <c r="X291">
        <v>3</v>
      </c>
      <c r="Y291">
        <v>10</v>
      </c>
      <c r="Z291">
        <v>13</v>
      </c>
      <c r="AA291">
        <v>0</v>
      </c>
      <c r="AB291">
        <v>24</v>
      </c>
      <c r="AC291">
        <v>2</v>
      </c>
      <c r="AD291">
        <v>0</v>
      </c>
      <c r="AE291">
        <v>2</v>
      </c>
      <c r="AF291">
        <v>10</v>
      </c>
      <c r="AG291">
        <v>2</v>
      </c>
      <c r="AH291">
        <v>7</v>
      </c>
      <c r="AI291">
        <v>3</v>
      </c>
      <c r="AJ291">
        <v>0</v>
      </c>
      <c r="AK291">
        <v>2</v>
      </c>
      <c r="AL291">
        <v>6</v>
      </c>
      <c r="AM291">
        <v>3</v>
      </c>
      <c r="AN291">
        <v>4</v>
      </c>
      <c r="AO291">
        <v>0</v>
      </c>
      <c r="AP291">
        <v>2</v>
      </c>
      <c r="AQ291">
        <v>0</v>
      </c>
      <c r="AR291">
        <v>3</v>
      </c>
      <c r="AS291">
        <v>0</v>
      </c>
      <c r="AT291">
        <v>2</v>
      </c>
      <c r="AU291">
        <v>2</v>
      </c>
      <c r="AV291">
        <v>3</v>
      </c>
      <c r="AW291">
        <v>4</v>
      </c>
      <c r="AX291">
        <v>2</v>
      </c>
      <c r="AY291">
        <v>6</v>
      </c>
      <c r="AZ291">
        <v>12</v>
      </c>
      <c r="BA291">
        <v>14</v>
      </c>
      <c r="BB291">
        <v>5</v>
      </c>
      <c r="BC291">
        <v>4</v>
      </c>
      <c r="BD291">
        <v>8</v>
      </c>
      <c r="BE291">
        <v>4</v>
      </c>
      <c r="BF291">
        <v>0</v>
      </c>
      <c r="BG291">
        <v>8</v>
      </c>
      <c r="BH291">
        <v>7</v>
      </c>
      <c r="BI291">
        <v>0</v>
      </c>
      <c r="BJ291">
        <v>9</v>
      </c>
      <c r="BK291">
        <v>2</v>
      </c>
      <c r="BL291">
        <v>0</v>
      </c>
      <c r="BM291">
        <v>2</v>
      </c>
      <c r="BN291">
        <v>7</v>
      </c>
      <c r="BO291">
        <v>6</v>
      </c>
      <c r="BP291">
        <v>11</v>
      </c>
      <c r="BQ291">
        <v>0</v>
      </c>
      <c r="BR291">
        <v>5</v>
      </c>
      <c r="BS291">
        <v>48</v>
      </c>
      <c r="BU291" s="1">
        <f>AVERAGE(Table9[[#This Row],[1-Jan-21]:[1-Dec-25]])</f>
        <v>5.0666666666666664</v>
      </c>
    </row>
    <row r="292" spans="1:73" x14ac:dyDescent="0.55000000000000004">
      <c r="A292">
        <v>291</v>
      </c>
      <c r="B292" t="s">
        <v>71</v>
      </c>
      <c r="C292" t="s">
        <v>72</v>
      </c>
      <c r="D292" t="s">
        <v>73</v>
      </c>
      <c r="E292" t="s">
        <v>204</v>
      </c>
      <c r="F292">
        <v>110406</v>
      </c>
      <c r="G292" t="s">
        <v>422</v>
      </c>
      <c r="H292" t="s">
        <v>76</v>
      </c>
      <c r="I292" t="s">
        <v>423</v>
      </c>
      <c r="J292">
        <v>6463.54</v>
      </c>
      <c r="K292">
        <v>9</v>
      </c>
      <c r="L292">
        <v>9</v>
      </c>
      <c r="M292">
        <v>9</v>
      </c>
      <c r="N292">
        <v>12</v>
      </c>
      <c r="O292">
        <v>19</v>
      </c>
      <c r="P292">
        <v>10</v>
      </c>
      <c r="Q292">
        <v>8</v>
      </c>
      <c r="R292">
        <v>8</v>
      </c>
      <c r="S292">
        <v>8</v>
      </c>
      <c r="T292">
        <v>15</v>
      </c>
      <c r="U292">
        <v>8</v>
      </c>
      <c r="V292">
        <v>9</v>
      </c>
      <c r="W292">
        <v>4</v>
      </c>
      <c r="X292">
        <v>2</v>
      </c>
      <c r="Y292">
        <v>4</v>
      </c>
      <c r="Z292">
        <v>3</v>
      </c>
      <c r="AA292">
        <v>5</v>
      </c>
      <c r="AB292">
        <v>7</v>
      </c>
      <c r="AC292">
        <v>3</v>
      </c>
      <c r="AD292">
        <v>6</v>
      </c>
      <c r="AE292">
        <v>6</v>
      </c>
      <c r="AF292">
        <v>7</v>
      </c>
      <c r="AG292">
        <v>5</v>
      </c>
      <c r="AH292">
        <v>1</v>
      </c>
      <c r="AI292">
        <v>5</v>
      </c>
      <c r="AJ292">
        <v>1</v>
      </c>
      <c r="AK292">
        <v>3</v>
      </c>
      <c r="AL292">
        <v>5</v>
      </c>
      <c r="AM292">
        <v>0</v>
      </c>
      <c r="AN292">
        <v>3</v>
      </c>
      <c r="AO292">
        <v>6</v>
      </c>
      <c r="AP292">
        <v>3</v>
      </c>
      <c r="AQ292">
        <v>3</v>
      </c>
      <c r="AR292">
        <v>2</v>
      </c>
      <c r="AS292">
        <v>1</v>
      </c>
      <c r="AT292">
        <v>3</v>
      </c>
      <c r="AU292">
        <v>6</v>
      </c>
      <c r="AV292">
        <v>3</v>
      </c>
      <c r="AW292">
        <v>4</v>
      </c>
      <c r="AX292">
        <v>4</v>
      </c>
      <c r="AY292">
        <v>4</v>
      </c>
      <c r="AZ292">
        <v>2</v>
      </c>
      <c r="BA292">
        <v>1</v>
      </c>
      <c r="BB292">
        <v>0</v>
      </c>
      <c r="BC292">
        <v>3</v>
      </c>
      <c r="BD292">
        <v>1</v>
      </c>
      <c r="BE292">
        <v>4</v>
      </c>
      <c r="BF292">
        <v>4</v>
      </c>
      <c r="BG292">
        <v>6</v>
      </c>
      <c r="BH292">
        <v>4</v>
      </c>
      <c r="BI292">
        <v>4</v>
      </c>
      <c r="BJ292">
        <v>1</v>
      </c>
      <c r="BK292">
        <v>14</v>
      </c>
      <c r="BL292">
        <v>3</v>
      </c>
      <c r="BM292">
        <v>10</v>
      </c>
      <c r="BN292">
        <v>3</v>
      </c>
      <c r="BO292">
        <v>4</v>
      </c>
      <c r="BP292">
        <v>8</v>
      </c>
      <c r="BQ292">
        <v>6</v>
      </c>
      <c r="BR292">
        <v>5</v>
      </c>
      <c r="BS292">
        <v>58</v>
      </c>
      <c r="BU292" s="1">
        <f>AVERAGE(Table9[[#This Row],[1-Jan-21]:[1-Dec-25]])</f>
        <v>5.2666666666666666</v>
      </c>
    </row>
    <row r="293" spans="1:73" x14ac:dyDescent="0.55000000000000004">
      <c r="A293">
        <v>292</v>
      </c>
      <c r="B293" t="s">
        <v>71</v>
      </c>
      <c r="C293" t="s">
        <v>72</v>
      </c>
      <c r="D293" t="s">
        <v>73</v>
      </c>
      <c r="E293" t="s">
        <v>116</v>
      </c>
      <c r="F293">
        <v>110901</v>
      </c>
      <c r="G293" t="s">
        <v>424</v>
      </c>
      <c r="H293" t="s">
        <v>76</v>
      </c>
      <c r="I293" t="s">
        <v>80</v>
      </c>
      <c r="J293">
        <v>11.51</v>
      </c>
      <c r="K293">
        <v>25</v>
      </c>
      <c r="L293">
        <v>16</v>
      </c>
      <c r="M293">
        <v>4</v>
      </c>
      <c r="N293">
        <v>17</v>
      </c>
      <c r="O293">
        <v>14</v>
      </c>
      <c r="P293">
        <v>17</v>
      </c>
      <c r="Q293">
        <v>0</v>
      </c>
      <c r="R293">
        <v>39</v>
      </c>
      <c r="S293">
        <v>18</v>
      </c>
      <c r="T293">
        <v>14</v>
      </c>
      <c r="U293">
        <v>22</v>
      </c>
      <c r="V293">
        <v>32</v>
      </c>
      <c r="W293">
        <v>4</v>
      </c>
      <c r="X293">
        <v>15</v>
      </c>
      <c r="Y293">
        <v>12</v>
      </c>
      <c r="Z293">
        <v>6</v>
      </c>
      <c r="AA293">
        <v>16</v>
      </c>
      <c r="AB293">
        <v>5</v>
      </c>
      <c r="AC293">
        <v>0</v>
      </c>
      <c r="AD293">
        <v>0</v>
      </c>
      <c r="AE293">
        <v>16</v>
      </c>
      <c r="AF293">
        <v>38</v>
      </c>
      <c r="AG293">
        <v>18</v>
      </c>
      <c r="AH293">
        <v>8</v>
      </c>
      <c r="AI293">
        <v>11</v>
      </c>
      <c r="AJ293">
        <v>3</v>
      </c>
      <c r="AK293">
        <v>0</v>
      </c>
      <c r="AL293">
        <v>5</v>
      </c>
      <c r="AM293">
        <v>1</v>
      </c>
      <c r="AN293">
        <v>16</v>
      </c>
      <c r="AO293">
        <v>20</v>
      </c>
      <c r="AP293">
        <v>3</v>
      </c>
      <c r="AQ293">
        <v>2</v>
      </c>
      <c r="AR293">
        <v>9</v>
      </c>
      <c r="AS293">
        <v>6</v>
      </c>
      <c r="AT293">
        <v>1</v>
      </c>
      <c r="AU293">
        <v>15</v>
      </c>
      <c r="AV293">
        <v>8</v>
      </c>
      <c r="AW293">
        <v>5</v>
      </c>
      <c r="AX293">
        <v>10</v>
      </c>
      <c r="AY293">
        <v>1</v>
      </c>
      <c r="AZ293">
        <v>20</v>
      </c>
      <c r="BA293">
        <v>0</v>
      </c>
      <c r="BB293">
        <v>6</v>
      </c>
      <c r="BC293">
        <v>13</v>
      </c>
      <c r="BD293">
        <v>6</v>
      </c>
      <c r="BE293">
        <v>28</v>
      </c>
      <c r="BF293">
        <v>28</v>
      </c>
      <c r="BG293">
        <v>11</v>
      </c>
      <c r="BH293">
        <v>5</v>
      </c>
      <c r="BI293">
        <v>4</v>
      </c>
      <c r="BJ293">
        <v>2</v>
      </c>
      <c r="BK293">
        <v>16</v>
      </c>
      <c r="BL293">
        <v>21</v>
      </c>
      <c r="BM293">
        <v>9</v>
      </c>
      <c r="BN293">
        <v>9</v>
      </c>
      <c r="BO293">
        <v>12</v>
      </c>
      <c r="BP293">
        <v>15</v>
      </c>
      <c r="BQ293">
        <v>13</v>
      </c>
      <c r="BR293">
        <v>2</v>
      </c>
      <c r="BS293">
        <v>55</v>
      </c>
      <c r="BU293" s="1">
        <f>AVERAGE(Table9[[#This Row],[1-Jan-21]:[1-Dec-25]])</f>
        <v>11.533333333333333</v>
      </c>
    </row>
    <row r="294" spans="1:73" x14ac:dyDescent="0.55000000000000004">
      <c r="A294">
        <v>293</v>
      </c>
      <c r="B294" t="s">
        <v>71</v>
      </c>
      <c r="C294" t="s">
        <v>72</v>
      </c>
      <c r="D294" t="s">
        <v>73</v>
      </c>
      <c r="E294" t="s">
        <v>83</v>
      </c>
      <c r="F294">
        <v>108755</v>
      </c>
      <c r="G294" t="s">
        <v>425</v>
      </c>
      <c r="H294" t="s">
        <v>76</v>
      </c>
      <c r="I294" t="s">
        <v>77</v>
      </c>
      <c r="J294">
        <v>406.08</v>
      </c>
      <c r="K294">
        <v>23</v>
      </c>
      <c r="L294">
        <v>20</v>
      </c>
      <c r="M294">
        <v>21.9</v>
      </c>
      <c r="N294">
        <v>13.5</v>
      </c>
      <c r="O294">
        <v>14</v>
      </c>
      <c r="P294">
        <v>7.63</v>
      </c>
      <c r="Q294">
        <v>7</v>
      </c>
      <c r="R294">
        <v>0</v>
      </c>
      <c r="S294">
        <v>23</v>
      </c>
      <c r="T294">
        <v>0</v>
      </c>
      <c r="U294">
        <v>6</v>
      </c>
      <c r="V294">
        <v>16</v>
      </c>
      <c r="W294">
        <v>16</v>
      </c>
      <c r="X294">
        <v>24</v>
      </c>
      <c r="Y294">
        <v>0</v>
      </c>
      <c r="Z294">
        <v>10</v>
      </c>
      <c r="AA294">
        <v>30</v>
      </c>
      <c r="AB294">
        <v>10</v>
      </c>
      <c r="AC294">
        <v>0</v>
      </c>
      <c r="AD294">
        <v>32</v>
      </c>
      <c r="AE294">
        <v>14</v>
      </c>
      <c r="AF294">
        <v>25</v>
      </c>
      <c r="AG294">
        <v>2</v>
      </c>
      <c r="AH294">
        <v>22</v>
      </c>
      <c r="AI294">
        <v>10</v>
      </c>
      <c r="AJ294">
        <v>14.7</v>
      </c>
      <c r="AK294">
        <v>6</v>
      </c>
      <c r="AL294">
        <v>20.105</v>
      </c>
      <c r="AM294">
        <v>0</v>
      </c>
      <c r="AN294">
        <v>13</v>
      </c>
      <c r="AO294">
        <v>0</v>
      </c>
      <c r="AP294">
        <v>28.32</v>
      </c>
      <c r="AQ294">
        <v>74.55</v>
      </c>
      <c r="AR294">
        <v>0</v>
      </c>
      <c r="AS294">
        <v>0</v>
      </c>
      <c r="AT294">
        <v>0</v>
      </c>
      <c r="AU294">
        <v>0</v>
      </c>
      <c r="AV294">
        <v>4</v>
      </c>
      <c r="AW294">
        <v>57.6</v>
      </c>
      <c r="AX294">
        <v>0</v>
      </c>
      <c r="AY294">
        <v>20.54</v>
      </c>
      <c r="AZ294">
        <v>0</v>
      </c>
      <c r="BA294">
        <v>22</v>
      </c>
      <c r="BB294">
        <v>49</v>
      </c>
      <c r="BC294">
        <v>0</v>
      </c>
      <c r="BD294">
        <v>46</v>
      </c>
      <c r="BE294">
        <v>24</v>
      </c>
      <c r="BF294">
        <v>23</v>
      </c>
      <c r="BG294">
        <v>40</v>
      </c>
      <c r="BH294">
        <v>27</v>
      </c>
      <c r="BI294">
        <v>53.4</v>
      </c>
      <c r="BJ294">
        <v>38</v>
      </c>
      <c r="BK294">
        <v>0</v>
      </c>
      <c r="BL294">
        <v>2</v>
      </c>
      <c r="BM294">
        <v>36</v>
      </c>
      <c r="BN294">
        <v>52</v>
      </c>
      <c r="BO294">
        <v>68.680000000000007</v>
      </c>
      <c r="BP294">
        <v>0</v>
      </c>
      <c r="BQ294">
        <v>41</v>
      </c>
      <c r="BR294">
        <v>0</v>
      </c>
      <c r="BS294">
        <v>44</v>
      </c>
      <c r="BU294" s="1">
        <f>AVERAGE(Table9[[#This Row],[1-Jan-21]:[1-Dec-25]])</f>
        <v>18.465416666666666</v>
      </c>
    </row>
    <row r="295" spans="1:73" x14ac:dyDescent="0.55000000000000004">
      <c r="A295">
        <v>294</v>
      </c>
      <c r="B295" t="s">
        <v>71</v>
      </c>
      <c r="C295" t="s">
        <v>72</v>
      </c>
      <c r="D295" t="s">
        <v>73</v>
      </c>
      <c r="E295" t="s">
        <v>87</v>
      </c>
      <c r="F295">
        <v>136962</v>
      </c>
      <c r="G295" t="s">
        <v>426</v>
      </c>
      <c r="H295" t="s">
        <v>76</v>
      </c>
      <c r="I295" t="s">
        <v>80</v>
      </c>
      <c r="J295">
        <v>22.14</v>
      </c>
      <c r="K295">
        <v>20</v>
      </c>
      <c r="L295">
        <v>0</v>
      </c>
      <c r="M295">
        <v>22</v>
      </c>
      <c r="N295">
        <v>52</v>
      </c>
      <c r="O295">
        <v>10</v>
      </c>
      <c r="P295">
        <v>0</v>
      </c>
      <c r="Q295">
        <v>36</v>
      </c>
      <c r="R295">
        <v>82</v>
      </c>
      <c r="S295">
        <v>23</v>
      </c>
      <c r="T295">
        <v>0</v>
      </c>
      <c r="U295">
        <v>30</v>
      </c>
      <c r="V295">
        <v>20</v>
      </c>
      <c r="W295">
        <v>8</v>
      </c>
      <c r="X295">
        <v>142</v>
      </c>
      <c r="Y295">
        <v>32</v>
      </c>
      <c r="Z295">
        <v>50</v>
      </c>
      <c r="AA295">
        <v>0</v>
      </c>
      <c r="AB295">
        <v>97</v>
      </c>
      <c r="AC295">
        <v>0</v>
      </c>
      <c r="AD295">
        <v>20</v>
      </c>
      <c r="AE295">
        <v>0</v>
      </c>
      <c r="AF295">
        <v>20</v>
      </c>
      <c r="AG295">
        <v>22</v>
      </c>
      <c r="AH295">
        <v>54</v>
      </c>
      <c r="AI295">
        <v>0</v>
      </c>
      <c r="AJ295">
        <v>0</v>
      </c>
      <c r="AK295">
        <v>50</v>
      </c>
      <c r="AL295">
        <v>6</v>
      </c>
      <c r="AM295">
        <v>0</v>
      </c>
      <c r="AN295">
        <v>0</v>
      </c>
      <c r="AO295">
        <v>6</v>
      </c>
      <c r="AP295">
        <v>40</v>
      </c>
      <c r="AQ295">
        <v>11</v>
      </c>
      <c r="AR295">
        <v>56</v>
      </c>
      <c r="AS295">
        <v>10</v>
      </c>
      <c r="AT295">
        <v>59</v>
      </c>
      <c r="AU295">
        <v>17</v>
      </c>
      <c r="AV295">
        <v>50</v>
      </c>
      <c r="AW295">
        <v>0</v>
      </c>
      <c r="AX295">
        <v>108</v>
      </c>
      <c r="AY295">
        <v>50</v>
      </c>
      <c r="AZ295">
        <v>0</v>
      </c>
      <c r="BA295">
        <v>0</v>
      </c>
      <c r="BB295">
        <v>0</v>
      </c>
      <c r="BC295">
        <v>28</v>
      </c>
      <c r="BD295">
        <v>55</v>
      </c>
      <c r="BE295">
        <v>78</v>
      </c>
      <c r="BF295">
        <v>14</v>
      </c>
      <c r="BG295">
        <v>19</v>
      </c>
      <c r="BH295">
        <v>0</v>
      </c>
      <c r="BI295">
        <v>30</v>
      </c>
      <c r="BJ295">
        <v>16</v>
      </c>
      <c r="BK295">
        <v>0</v>
      </c>
      <c r="BL295">
        <v>0</v>
      </c>
      <c r="BM295">
        <v>24</v>
      </c>
      <c r="BN295">
        <v>0</v>
      </c>
      <c r="BO295">
        <v>10</v>
      </c>
      <c r="BP295">
        <v>0</v>
      </c>
      <c r="BQ295">
        <v>24</v>
      </c>
      <c r="BR295">
        <v>0</v>
      </c>
      <c r="BS295">
        <v>40</v>
      </c>
      <c r="BU295" s="1">
        <f>AVERAGE(Table9[[#This Row],[1-Jan-21]:[1-Dec-25]])</f>
        <v>25.016666666666666</v>
      </c>
    </row>
    <row r="296" spans="1:73" x14ac:dyDescent="0.55000000000000004">
      <c r="A296">
        <v>295</v>
      </c>
      <c r="B296" t="s">
        <v>71</v>
      </c>
      <c r="C296" t="s">
        <v>72</v>
      </c>
      <c r="D296" t="s">
        <v>73</v>
      </c>
      <c r="E296" t="s">
        <v>184</v>
      </c>
      <c r="F296">
        <v>107780</v>
      </c>
      <c r="G296" t="s">
        <v>427</v>
      </c>
      <c r="H296" t="s">
        <v>76</v>
      </c>
      <c r="I296" t="s">
        <v>80</v>
      </c>
      <c r="J296">
        <v>2.31</v>
      </c>
      <c r="K296">
        <v>43</v>
      </c>
      <c r="L296">
        <v>0</v>
      </c>
      <c r="M296">
        <v>18</v>
      </c>
      <c r="N296">
        <v>24</v>
      </c>
      <c r="O296">
        <v>25</v>
      </c>
      <c r="P296">
        <v>61</v>
      </c>
      <c r="Q296">
        <v>5</v>
      </c>
      <c r="R296">
        <v>40</v>
      </c>
      <c r="S296">
        <v>36</v>
      </c>
      <c r="T296">
        <v>5</v>
      </c>
      <c r="U296">
        <v>74</v>
      </c>
      <c r="V296">
        <v>0</v>
      </c>
      <c r="W296">
        <v>28</v>
      </c>
      <c r="X296">
        <v>40</v>
      </c>
      <c r="Y296">
        <v>10</v>
      </c>
      <c r="Z296">
        <v>0</v>
      </c>
      <c r="AA296">
        <v>25</v>
      </c>
      <c r="AB296">
        <v>28</v>
      </c>
      <c r="AC296">
        <v>5</v>
      </c>
      <c r="AD296">
        <v>0</v>
      </c>
      <c r="AE296">
        <v>0</v>
      </c>
      <c r="AF296">
        <v>0</v>
      </c>
      <c r="AG296">
        <v>15</v>
      </c>
      <c r="AH296">
        <v>10</v>
      </c>
      <c r="AI296">
        <v>10</v>
      </c>
      <c r="AJ296">
        <v>6</v>
      </c>
      <c r="AK296">
        <v>14</v>
      </c>
      <c r="AL296">
        <v>19</v>
      </c>
      <c r="AM296">
        <v>0</v>
      </c>
      <c r="AN296">
        <v>20</v>
      </c>
      <c r="AO296">
        <v>0</v>
      </c>
      <c r="AP296">
        <v>1</v>
      </c>
      <c r="AQ296">
        <v>4</v>
      </c>
      <c r="AR296">
        <v>25</v>
      </c>
      <c r="AS296">
        <v>0</v>
      </c>
      <c r="AT296">
        <v>0</v>
      </c>
      <c r="AU296">
        <v>4</v>
      </c>
      <c r="AV296">
        <v>0</v>
      </c>
      <c r="AW296">
        <v>0</v>
      </c>
      <c r="AX296">
        <v>0</v>
      </c>
      <c r="AY296">
        <v>0</v>
      </c>
      <c r="AZ296">
        <v>23</v>
      </c>
      <c r="BA296">
        <v>0</v>
      </c>
      <c r="BB296">
        <v>30</v>
      </c>
      <c r="BC296">
        <v>15</v>
      </c>
      <c r="BD296">
        <v>0</v>
      </c>
      <c r="BE296">
        <v>10</v>
      </c>
      <c r="BF296">
        <v>5</v>
      </c>
      <c r="BG296">
        <v>10</v>
      </c>
      <c r="BH296">
        <v>35</v>
      </c>
      <c r="BI296">
        <v>13</v>
      </c>
      <c r="BJ296">
        <v>42</v>
      </c>
      <c r="BK296">
        <v>46</v>
      </c>
      <c r="BL296">
        <v>0</v>
      </c>
      <c r="BM296">
        <v>50</v>
      </c>
      <c r="BN296">
        <v>10</v>
      </c>
      <c r="BO296">
        <v>21</v>
      </c>
      <c r="BP296">
        <v>25</v>
      </c>
      <c r="BQ296">
        <v>4</v>
      </c>
      <c r="BR296">
        <v>5</v>
      </c>
      <c r="BS296">
        <v>43</v>
      </c>
      <c r="BU296" s="1">
        <f>AVERAGE(Table9[[#This Row],[1-Jan-21]:[1-Dec-25]])</f>
        <v>15.65</v>
      </c>
    </row>
    <row r="297" spans="1:73" x14ac:dyDescent="0.55000000000000004">
      <c r="A297">
        <v>296</v>
      </c>
      <c r="B297" t="s">
        <v>71</v>
      </c>
      <c r="C297" t="s">
        <v>72</v>
      </c>
      <c r="D297" t="s">
        <v>73</v>
      </c>
      <c r="E297" t="s">
        <v>87</v>
      </c>
      <c r="F297">
        <v>107626</v>
      </c>
      <c r="G297" t="s">
        <v>428</v>
      </c>
      <c r="H297" t="s">
        <v>76</v>
      </c>
      <c r="I297" t="s">
        <v>80</v>
      </c>
      <c r="J297">
        <v>21.99</v>
      </c>
      <c r="K297">
        <v>110</v>
      </c>
      <c r="L297">
        <v>58</v>
      </c>
      <c r="M297">
        <v>273</v>
      </c>
      <c r="N297">
        <v>157</v>
      </c>
      <c r="O297">
        <v>130</v>
      </c>
      <c r="P297">
        <v>129</v>
      </c>
      <c r="Q297">
        <v>187</v>
      </c>
      <c r="R297">
        <v>80</v>
      </c>
      <c r="S297">
        <v>185</v>
      </c>
      <c r="T297">
        <v>135</v>
      </c>
      <c r="U297">
        <v>32</v>
      </c>
      <c r="V297">
        <v>132</v>
      </c>
      <c r="W297">
        <v>72</v>
      </c>
      <c r="X297">
        <v>14</v>
      </c>
      <c r="Y297">
        <v>130</v>
      </c>
      <c r="Z297">
        <v>30</v>
      </c>
      <c r="AA297">
        <v>109</v>
      </c>
      <c r="AB297">
        <v>10</v>
      </c>
      <c r="AC297">
        <v>30</v>
      </c>
      <c r="AD297">
        <v>55</v>
      </c>
      <c r="AE297">
        <v>45</v>
      </c>
      <c r="AF297">
        <v>0</v>
      </c>
      <c r="AG297">
        <v>40</v>
      </c>
      <c r="AH297">
        <v>44</v>
      </c>
      <c r="AI297">
        <v>0</v>
      </c>
      <c r="AJ297">
        <v>65</v>
      </c>
      <c r="AK297">
        <v>20</v>
      </c>
      <c r="AL297">
        <v>34</v>
      </c>
      <c r="AM297">
        <v>10</v>
      </c>
      <c r="AN297">
        <v>70</v>
      </c>
      <c r="AO297">
        <v>12</v>
      </c>
      <c r="AP297">
        <v>70</v>
      </c>
      <c r="AQ297">
        <v>2</v>
      </c>
      <c r="AR297">
        <v>19</v>
      </c>
      <c r="AS297">
        <v>60</v>
      </c>
      <c r="AT297">
        <v>30</v>
      </c>
      <c r="AU297">
        <v>95</v>
      </c>
      <c r="AV297">
        <v>62</v>
      </c>
      <c r="AW297">
        <v>105</v>
      </c>
      <c r="AX297">
        <v>55</v>
      </c>
      <c r="AY297">
        <v>60</v>
      </c>
      <c r="AZ297">
        <v>70</v>
      </c>
      <c r="BA297">
        <v>40</v>
      </c>
      <c r="BB297">
        <v>60</v>
      </c>
      <c r="BC297">
        <v>114</v>
      </c>
      <c r="BD297">
        <v>127</v>
      </c>
      <c r="BE297">
        <v>30</v>
      </c>
      <c r="BF297">
        <v>163</v>
      </c>
      <c r="BG297">
        <v>50</v>
      </c>
      <c r="BH297">
        <v>104</v>
      </c>
      <c r="BI297">
        <v>7</v>
      </c>
      <c r="BJ297">
        <v>90</v>
      </c>
      <c r="BK297">
        <v>30</v>
      </c>
      <c r="BL297">
        <v>64</v>
      </c>
      <c r="BM297">
        <v>245</v>
      </c>
      <c r="BN297">
        <v>15</v>
      </c>
      <c r="BO297">
        <v>0</v>
      </c>
      <c r="BP297">
        <v>50</v>
      </c>
      <c r="BQ297">
        <v>20</v>
      </c>
      <c r="BR297">
        <v>10</v>
      </c>
      <c r="BS297">
        <v>57</v>
      </c>
      <c r="BU297" s="1">
        <f>AVERAGE(Table9[[#This Row],[1-Jan-21]:[1-Dec-25]])</f>
        <v>70.75</v>
      </c>
    </row>
    <row r="298" spans="1:73" x14ac:dyDescent="0.55000000000000004">
      <c r="A298">
        <v>297</v>
      </c>
      <c r="B298" t="s">
        <v>71</v>
      </c>
      <c r="C298" t="s">
        <v>72</v>
      </c>
      <c r="D298" t="s">
        <v>73</v>
      </c>
      <c r="E298" t="s">
        <v>103</v>
      </c>
      <c r="F298">
        <v>110637</v>
      </c>
      <c r="G298" t="s">
        <v>429</v>
      </c>
      <c r="H298" t="s">
        <v>76</v>
      </c>
      <c r="I298" t="s">
        <v>105</v>
      </c>
      <c r="J298">
        <v>98.43</v>
      </c>
      <c r="K298">
        <v>119</v>
      </c>
      <c r="L298">
        <v>104</v>
      </c>
      <c r="M298">
        <v>118</v>
      </c>
      <c r="N298">
        <v>45</v>
      </c>
      <c r="O298">
        <v>59</v>
      </c>
      <c r="P298">
        <v>20</v>
      </c>
      <c r="Q298">
        <v>18</v>
      </c>
      <c r="R298">
        <v>35</v>
      </c>
      <c r="S298">
        <v>160</v>
      </c>
      <c r="T298">
        <v>82</v>
      </c>
      <c r="U298">
        <v>78</v>
      </c>
      <c r="V298">
        <v>12</v>
      </c>
      <c r="W298">
        <v>136</v>
      </c>
      <c r="X298">
        <v>165</v>
      </c>
      <c r="Y298">
        <v>130</v>
      </c>
      <c r="Z298">
        <v>110</v>
      </c>
      <c r="AA298">
        <v>85</v>
      </c>
      <c r="AB298">
        <v>20</v>
      </c>
      <c r="AC298">
        <v>5</v>
      </c>
      <c r="AD298">
        <v>16</v>
      </c>
      <c r="AE298">
        <v>60</v>
      </c>
      <c r="AF298">
        <v>23</v>
      </c>
      <c r="AG298">
        <v>23</v>
      </c>
      <c r="AH298">
        <v>60</v>
      </c>
      <c r="AI298">
        <v>30</v>
      </c>
      <c r="AJ298">
        <v>0</v>
      </c>
      <c r="AK298">
        <v>5</v>
      </c>
      <c r="AL298">
        <v>50</v>
      </c>
      <c r="AM298">
        <v>6</v>
      </c>
      <c r="AN298">
        <v>79</v>
      </c>
      <c r="AO298">
        <v>66</v>
      </c>
      <c r="AP298">
        <v>0</v>
      </c>
      <c r="AQ298">
        <v>14</v>
      </c>
      <c r="AR298">
        <v>29</v>
      </c>
      <c r="AS298">
        <v>27</v>
      </c>
      <c r="AT298">
        <v>11</v>
      </c>
      <c r="AU298">
        <v>26</v>
      </c>
      <c r="AV298">
        <v>101</v>
      </c>
      <c r="AW298">
        <v>37</v>
      </c>
      <c r="AX298">
        <v>22</v>
      </c>
      <c r="AY298">
        <v>63</v>
      </c>
      <c r="AZ298">
        <v>28</v>
      </c>
      <c r="BA298">
        <v>72</v>
      </c>
      <c r="BB298">
        <v>13</v>
      </c>
      <c r="BC298">
        <v>25</v>
      </c>
      <c r="BD298">
        <v>47</v>
      </c>
      <c r="BE298">
        <v>18</v>
      </c>
      <c r="BF298">
        <v>8</v>
      </c>
      <c r="BG298">
        <v>64</v>
      </c>
      <c r="BH298">
        <v>77</v>
      </c>
      <c r="BI298">
        <v>68</v>
      </c>
      <c r="BJ298">
        <v>102</v>
      </c>
      <c r="BK298">
        <v>36</v>
      </c>
      <c r="BL298">
        <v>16</v>
      </c>
      <c r="BM298">
        <v>0</v>
      </c>
      <c r="BN298">
        <v>86</v>
      </c>
      <c r="BO298">
        <v>94</v>
      </c>
      <c r="BP298">
        <v>51</v>
      </c>
      <c r="BQ298">
        <v>27</v>
      </c>
      <c r="BR298">
        <v>96</v>
      </c>
      <c r="BS298">
        <v>57</v>
      </c>
      <c r="BU298" s="1">
        <f>AVERAGE(Table9[[#This Row],[1-Jan-21]:[1-Dec-25]])</f>
        <v>52.95</v>
      </c>
    </row>
    <row r="299" spans="1:73" x14ac:dyDescent="0.55000000000000004">
      <c r="A299">
        <v>298</v>
      </c>
      <c r="B299" t="s">
        <v>71</v>
      </c>
      <c r="C299" t="s">
        <v>72</v>
      </c>
      <c r="D299" t="s">
        <v>73</v>
      </c>
      <c r="E299" t="s">
        <v>430</v>
      </c>
      <c r="F299">
        <v>110553</v>
      </c>
      <c r="G299" t="s">
        <v>431</v>
      </c>
      <c r="H299" t="s">
        <v>76</v>
      </c>
      <c r="I299" t="s">
        <v>80</v>
      </c>
      <c r="J299">
        <v>6368.42</v>
      </c>
      <c r="K299">
        <v>3</v>
      </c>
      <c r="L299">
        <v>1</v>
      </c>
      <c r="M299">
        <v>8</v>
      </c>
      <c r="N299">
        <v>3</v>
      </c>
      <c r="O299">
        <v>3</v>
      </c>
      <c r="P299">
        <v>1</v>
      </c>
      <c r="Q299">
        <v>1</v>
      </c>
      <c r="R299">
        <v>2</v>
      </c>
      <c r="S299">
        <v>3</v>
      </c>
      <c r="T299">
        <v>3</v>
      </c>
      <c r="U299">
        <v>4</v>
      </c>
      <c r="V299">
        <v>0</v>
      </c>
      <c r="W299">
        <v>0</v>
      </c>
      <c r="X299">
        <v>4</v>
      </c>
      <c r="Y299">
        <v>2</v>
      </c>
      <c r="Z299">
        <v>0</v>
      </c>
      <c r="AA299">
        <v>0</v>
      </c>
      <c r="AB299">
        <v>3</v>
      </c>
      <c r="AC299">
        <v>1</v>
      </c>
      <c r="AD299">
        <v>2</v>
      </c>
      <c r="AE299">
        <v>2</v>
      </c>
      <c r="AF299">
        <v>2</v>
      </c>
      <c r="AG299">
        <v>3</v>
      </c>
      <c r="AH299">
        <v>2</v>
      </c>
      <c r="AI299">
        <v>3</v>
      </c>
      <c r="AJ299">
        <v>1</v>
      </c>
      <c r="AK299">
        <v>0</v>
      </c>
      <c r="AL299">
        <v>2</v>
      </c>
      <c r="AM299">
        <v>5</v>
      </c>
      <c r="AN299">
        <v>0</v>
      </c>
      <c r="AO299">
        <v>0</v>
      </c>
      <c r="AP299">
        <v>3</v>
      </c>
      <c r="AQ299">
        <v>0</v>
      </c>
      <c r="AR299">
        <v>4</v>
      </c>
      <c r="AS299">
        <v>2</v>
      </c>
      <c r="AT299">
        <v>4</v>
      </c>
      <c r="AU299">
        <v>2</v>
      </c>
      <c r="AV299">
        <v>2</v>
      </c>
      <c r="AW299">
        <v>3</v>
      </c>
      <c r="AX299">
        <v>0</v>
      </c>
      <c r="AY299">
        <v>2</v>
      </c>
      <c r="AZ299">
        <v>0</v>
      </c>
      <c r="BA299">
        <v>2</v>
      </c>
      <c r="BB299">
        <v>0</v>
      </c>
      <c r="BC299">
        <v>1</v>
      </c>
      <c r="BD299">
        <v>2</v>
      </c>
      <c r="BE299">
        <v>4</v>
      </c>
      <c r="BF299">
        <v>2</v>
      </c>
      <c r="BG299">
        <v>1</v>
      </c>
      <c r="BH299">
        <v>1</v>
      </c>
      <c r="BI299">
        <v>0</v>
      </c>
      <c r="BJ299">
        <v>1</v>
      </c>
      <c r="BK299">
        <v>2</v>
      </c>
      <c r="BL299">
        <v>3</v>
      </c>
      <c r="BM299">
        <v>6</v>
      </c>
      <c r="BN299">
        <v>3</v>
      </c>
      <c r="BO299">
        <v>0</v>
      </c>
      <c r="BP299">
        <v>0</v>
      </c>
      <c r="BQ299">
        <v>1</v>
      </c>
      <c r="BR299">
        <v>3</v>
      </c>
      <c r="BS299">
        <v>46</v>
      </c>
      <c r="BU299" s="1">
        <f>AVERAGE(Table9[[#This Row],[1-Jan-21]:[1-Dec-25]])</f>
        <v>1.9666666666666666</v>
      </c>
    </row>
    <row r="300" spans="1:73" x14ac:dyDescent="0.55000000000000004">
      <c r="A300">
        <v>299</v>
      </c>
      <c r="B300" t="s">
        <v>71</v>
      </c>
      <c r="C300" t="s">
        <v>72</v>
      </c>
      <c r="D300" t="s">
        <v>73</v>
      </c>
      <c r="E300" t="s">
        <v>134</v>
      </c>
      <c r="F300">
        <v>108415</v>
      </c>
      <c r="G300" t="s">
        <v>432</v>
      </c>
      <c r="H300" t="s">
        <v>76</v>
      </c>
      <c r="I300" t="s">
        <v>80</v>
      </c>
      <c r="J300">
        <v>185</v>
      </c>
      <c r="K300">
        <v>1</v>
      </c>
      <c r="L300">
        <v>0</v>
      </c>
      <c r="M300">
        <v>2</v>
      </c>
      <c r="N300">
        <v>4</v>
      </c>
      <c r="O300">
        <v>3</v>
      </c>
      <c r="P300">
        <v>4</v>
      </c>
      <c r="Q300">
        <v>2</v>
      </c>
      <c r="R300">
        <v>4</v>
      </c>
      <c r="S300">
        <v>7</v>
      </c>
      <c r="T300">
        <v>7</v>
      </c>
      <c r="U300">
        <v>4</v>
      </c>
      <c r="V300">
        <v>5</v>
      </c>
      <c r="W300">
        <v>4</v>
      </c>
      <c r="X300">
        <v>4</v>
      </c>
      <c r="Y300">
        <v>0</v>
      </c>
      <c r="Z300">
        <v>3</v>
      </c>
      <c r="AA300">
        <v>7</v>
      </c>
      <c r="AB300">
        <v>1</v>
      </c>
      <c r="AC300">
        <v>1</v>
      </c>
      <c r="AD300">
        <v>6</v>
      </c>
      <c r="AE300">
        <v>0</v>
      </c>
      <c r="AF300">
        <v>4</v>
      </c>
      <c r="AG300">
        <v>2</v>
      </c>
      <c r="AH300">
        <v>1</v>
      </c>
      <c r="AI300">
        <v>2</v>
      </c>
      <c r="AJ300">
        <v>0</v>
      </c>
      <c r="AK300">
        <v>2</v>
      </c>
      <c r="AL300">
        <v>0</v>
      </c>
      <c r="AM300">
        <v>1</v>
      </c>
      <c r="AN300">
        <v>4</v>
      </c>
      <c r="AO300">
        <v>2</v>
      </c>
      <c r="AP300">
        <v>0</v>
      </c>
      <c r="AQ300">
        <v>3</v>
      </c>
      <c r="AR300">
        <v>0</v>
      </c>
      <c r="AS300">
        <v>3</v>
      </c>
      <c r="AT300">
        <v>4</v>
      </c>
      <c r="AU300">
        <v>5</v>
      </c>
      <c r="AV300">
        <v>3</v>
      </c>
      <c r="AW300">
        <v>2</v>
      </c>
      <c r="AX300">
        <v>4</v>
      </c>
      <c r="AY300">
        <v>5</v>
      </c>
      <c r="AZ300">
        <v>2</v>
      </c>
      <c r="BA300">
        <v>1</v>
      </c>
      <c r="BB300">
        <v>0</v>
      </c>
      <c r="BC300">
        <v>2</v>
      </c>
      <c r="BD300">
        <v>2</v>
      </c>
      <c r="BE300">
        <v>2</v>
      </c>
      <c r="BF300">
        <v>3</v>
      </c>
      <c r="BG300">
        <v>1</v>
      </c>
      <c r="BH300">
        <v>0</v>
      </c>
      <c r="BI300">
        <v>6</v>
      </c>
      <c r="BJ300">
        <v>2</v>
      </c>
      <c r="BK300">
        <v>0</v>
      </c>
      <c r="BL300">
        <v>0</v>
      </c>
      <c r="BM300">
        <v>1</v>
      </c>
      <c r="BN300">
        <v>1</v>
      </c>
      <c r="BO300">
        <v>0</v>
      </c>
      <c r="BP300">
        <v>1</v>
      </c>
      <c r="BQ300">
        <v>2</v>
      </c>
      <c r="BR300">
        <v>1</v>
      </c>
      <c r="BS300">
        <v>48</v>
      </c>
      <c r="BU300" s="1">
        <f>AVERAGE(Table9[[#This Row],[1-Jan-21]:[1-Dec-25]])</f>
        <v>2.3833333333333333</v>
      </c>
    </row>
    <row r="301" spans="1:73" x14ac:dyDescent="0.55000000000000004">
      <c r="A301">
        <v>300</v>
      </c>
      <c r="B301" t="s">
        <v>71</v>
      </c>
      <c r="C301" t="s">
        <v>72</v>
      </c>
      <c r="D301" t="s">
        <v>73</v>
      </c>
      <c r="E301" t="s">
        <v>99</v>
      </c>
      <c r="F301">
        <v>117332</v>
      </c>
      <c r="G301" t="s">
        <v>433</v>
      </c>
      <c r="H301" t="s">
        <v>76</v>
      </c>
      <c r="I301" t="s">
        <v>80</v>
      </c>
      <c r="J301">
        <v>1249.5999999999999</v>
      </c>
      <c r="K301">
        <v>1</v>
      </c>
      <c r="L301">
        <v>6</v>
      </c>
      <c r="M301">
        <v>4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2</v>
      </c>
      <c r="T301">
        <v>7</v>
      </c>
      <c r="U301">
        <v>2</v>
      </c>
      <c r="V301">
        <v>1</v>
      </c>
      <c r="W301">
        <v>0</v>
      </c>
      <c r="X301">
        <v>1</v>
      </c>
      <c r="Y301">
        <v>1</v>
      </c>
      <c r="Z301">
        <v>4</v>
      </c>
      <c r="AA301">
        <v>2</v>
      </c>
      <c r="AB301">
        <v>4</v>
      </c>
      <c r="AC301">
        <v>2</v>
      </c>
      <c r="AD301">
        <v>9</v>
      </c>
      <c r="AE301">
        <v>4</v>
      </c>
      <c r="AF301">
        <v>10</v>
      </c>
      <c r="AG301">
        <v>2</v>
      </c>
      <c r="AH301">
        <v>7</v>
      </c>
      <c r="AI301">
        <v>3</v>
      </c>
      <c r="AJ301">
        <v>2</v>
      </c>
      <c r="AK301">
        <v>6</v>
      </c>
      <c r="AL301">
        <v>2</v>
      </c>
      <c r="AM301">
        <v>2</v>
      </c>
      <c r="AN301">
        <v>3</v>
      </c>
      <c r="AO301">
        <v>3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4</v>
      </c>
      <c r="AV301">
        <v>2</v>
      </c>
      <c r="AW301">
        <v>2</v>
      </c>
      <c r="AX301">
        <v>2</v>
      </c>
      <c r="AY301">
        <v>4</v>
      </c>
      <c r="AZ301">
        <v>1</v>
      </c>
      <c r="BA301">
        <v>2</v>
      </c>
      <c r="BB301">
        <v>0</v>
      </c>
      <c r="BC301">
        <v>4</v>
      </c>
      <c r="BD301">
        <v>0</v>
      </c>
      <c r="BE301">
        <v>2</v>
      </c>
      <c r="BF301">
        <v>0</v>
      </c>
      <c r="BG301">
        <v>4</v>
      </c>
      <c r="BH301">
        <v>0</v>
      </c>
      <c r="BI301">
        <v>2</v>
      </c>
      <c r="BJ301">
        <v>1</v>
      </c>
      <c r="BK301">
        <v>2</v>
      </c>
      <c r="BL301">
        <v>2</v>
      </c>
      <c r="BM301">
        <v>0</v>
      </c>
      <c r="BN301">
        <v>3</v>
      </c>
      <c r="BO301">
        <v>0</v>
      </c>
      <c r="BP301">
        <v>1</v>
      </c>
      <c r="BQ301">
        <v>3</v>
      </c>
      <c r="BR301">
        <v>7</v>
      </c>
      <c r="BS301">
        <v>48</v>
      </c>
      <c r="BU301" s="1">
        <f>AVERAGE(Table9[[#This Row],[1-Jan-21]:[1-Dec-25]])</f>
        <v>2.3833333333333333</v>
      </c>
    </row>
    <row r="302" spans="1:73" x14ac:dyDescent="0.55000000000000004">
      <c r="A302">
        <v>301</v>
      </c>
      <c r="B302" t="s">
        <v>71</v>
      </c>
      <c r="C302" t="s">
        <v>72</v>
      </c>
      <c r="D302" t="s">
        <v>221</v>
      </c>
      <c r="E302" t="s">
        <v>222</v>
      </c>
      <c r="F302">
        <v>110714</v>
      </c>
      <c r="G302" t="s">
        <v>434</v>
      </c>
      <c r="H302" t="s">
        <v>76</v>
      </c>
      <c r="I302" t="s">
        <v>80</v>
      </c>
      <c r="J302">
        <v>4631.55</v>
      </c>
      <c r="K302">
        <v>12</v>
      </c>
      <c r="L302">
        <v>10</v>
      </c>
      <c r="M302">
        <v>14</v>
      </c>
      <c r="N302">
        <v>14</v>
      </c>
      <c r="O302">
        <v>10</v>
      </c>
      <c r="P302">
        <v>16</v>
      </c>
      <c r="Q302">
        <v>6</v>
      </c>
      <c r="R302">
        <v>10</v>
      </c>
      <c r="S302">
        <v>10</v>
      </c>
      <c r="T302">
        <v>8</v>
      </c>
      <c r="U302">
        <v>8</v>
      </c>
      <c r="V302">
        <v>4</v>
      </c>
      <c r="W302">
        <v>8</v>
      </c>
      <c r="X302">
        <v>6</v>
      </c>
      <c r="Y302">
        <v>10</v>
      </c>
      <c r="Z302">
        <v>12</v>
      </c>
      <c r="AA302">
        <v>7</v>
      </c>
      <c r="AB302">
        <v>4</v>
      </c>
      <c r="AC302">
        <v>2</v>
      </c>
      <c r="AD302">
        <v>2</v>
      </c>
      <c r="AE302">
        <v>7</v>
      </c>
      <c r="AF302">
        <v>5</v>
      </c>
      <c r="AG302">
        <v>7</v>
      </c>
      <c r="AH302">
        <v>5</v>
      </c>
      <c r="AI302">
        <v>6</v>
      </c>
      <c r="AJ302">
        <v>4</v>
      </c>
      <c r="AK302">
        <v>4</v>
      </c>
      <c r="AL302">
        <v>2</v>
      </c>
      <c r="AM302">
        <v>7</v>
      </c>
      <c r="AN302">
        <v>11</v>
      </c>
      <c r="AO302">
        <v>6</v>
      </c>
      <c r="AP302">
        <v>4</v>
      </c>
      <c r="AQ302">
        <v>5</v>
      </c>
      <c r="AR302">
        <v>6</v>
      </c>
      <c r="AS302">
        <v>6</v>
      </c>
      <c r="AT302">
        <v>5</v>
      </c>
      <c r="AU302">
        <v>6</v>
      </c>
      <c r="AV302">
        <v>10</v>
      </c>
      <c r="AW302">
        <v>10</v>
      </c>
      <c r="AX302">
        <v>2</v>
      </c>
      <c r="AY302">
        <v>10</v>
      </c>
      <c r="AZ302">
        <v>6</v>
      </c>
      <c r="BA302">
        <v>4</v>
      </c>
      <c r="BB302">
        <v>2</v>
      </c>
      <c r="BC302">
        <v>4</v>
      </c>
      <c r="BD302">
        <v>2</v>
      </c>
      <c r="BE302">
        <v>5</v>
      </c>
      <c r="BF302">
        <v>7</v>
      </c>
      <c r="BG302">
        <v>5</v>
      </c>
      <c r="BH302">
        <v>4</v>
      </c>
      <c r="BI302">
        <v>2</v>
      </c>
      <c r="BJ302">
        <v>6</v>
      </c>
      <c r="BK302">
        <v>3</v>
      </c>
      <c r="BL302">
        <v>2</v>
      </c>
      <c r="BM302">
        <v>8</v>
      </c>
      <c r="BN302">
        <v>4</v>
      </c>
      <c r="BO302">
        <v>2</v>
      </c>
      <c r="BP302">
        <v>0</v>
      </c>
      <c r="BQ302">
        <v>0</v>
      </c>
      <c r="BR302">
        <v>0</v>
      </c>
      <c r="BS302">
        <v>57</v>
      </c>
      <c r="BU302" s="1">
        <f>AVERAGE(Table9[[#This Row],[1-Jan-21]:[1-Dec-25]])</f>
        <v>6.1166666666666663</v>
      </c>
    </row>
    <row r="303" spans="1:73" x14ac:dyDescent="0.55000000000000004">
      <c r="A303">
        <v>302</v>
      </c>
      <c r="B303" t="s">
        <v>71</v>
      </c>
      <c r="C303" t="s">
        <v>72</v>
      </c>
      <c r="D303" t="s">
        <v>73</v>
      </c>
      <c r="E303" t="s">
        <v>134</v>
      </c>
      <c r="F303">
        <v>108560</v>
      </c>
      <c r="G303" t="s">
        <v>435</v>
      </c>
      <c r="H303" t="s">
        <v>76</v>
      </c>
      <c r="I303" t="s">
        <v>80</v>
      </c>
      <c r="J303">
        <v>1157.7</v>
      </c>
      <c r="K303">
        <v>2</v>
      </c>
      <c r="L303">
        <v>0</v>
      </c>
      <c r="M303">
        <v>10</v>
      </c>
      <c r="N303">
        <v>10</v>
      </c>
      <c r="O303">
        <v>8</v>
      </c>
      <c r="P303">
        <v>6</v>
      </c>
      <c r="Q303">
        <v>2</v>
      </c>
      <c r="R303">
        <v>2</v>
      </c>
      <c r="S303">
        <v>12</v>
      </c>
      <c r="T303">
        <v>7</v>
      </c>
      <c r="U303">
        <v>4</v>
      </c>
      <c r="V303">
        <v>6</v>
      </c>
      <c r="W303">
        <v>12</v>
      </c>
      <c r="X303">
        <v>2</v>
      </c>
      <c r="Y303">
        <v>10</v>
      </c>
      <c r="Z303">
        <v>6</v>
      </c>
      <c r="AA303">
        <v>9</v>
      </c>
      <c r="AB303">
        <v>10</v>
      </c>
      <c r="AC303">
        <v>10</v>
      </c>
      <c r="AD303">
        <v>8</v>
      </c>
      <c r="AE303">
        <v>2</v>
      </c>
      <c r="AF303">
        <v>0</v>
      </c>
      <c r="AG303">
        <v>6</v>
      </c>
      <c r="AH303">
        <v>3</v>
      </c>
      <c r="AI303">
        <v>0</v>
      </c>
      <c r="AJ303">
        <v>7</v>
      </c>
      <c r="AK303">
        <v>2</v>
      </c>
      <c r="AL303">
        <v>0</v>
      </c>
      <c r="AM303">
        <v>5</v>
      </c>
      <c r="AN303">
        <v>4</v>
      </c>
      <c r="AO303">
        <v>5</v>
      </c>
      <c r="AP303">
        <v>3</v>
      </c>
      <c r="AQ303">
        <v>5</v>
      </c>
      <c r="AR303">
        <v>9</v>
      </c>
      <c r="AS303">
        <v>2</v>
      </c>
      <c r="AT303">
        <v>0</v>
      </c>
      <c r="AU303">
        <v>2</v>
      </c>
      <c r="AV303">
        <v>4</v>
      </c>
      <c r="AW303">
        <v>4</v>
      </c>
      <c r="AX303">
        <v>8</v>
      </c>
      <c r="AY303">
        <v>0</v>
      </c>
      <c r="AZ303">
        <v>4</v>
      </c>
      <c r="BA303">
        <v>8</v>
      </c>
      <c r="BB303">
        <v>9</v>
      </c>
      <c r="BC303">
        <v>2</v>
      </c>
      <c r="BD303">
        <v>11</v>
      </c>
      <c r="BE303">
        <v>3</v>
      </c>
      <c r="BF303">
        <v>8</v>
      </c>
      <c r="BG303">
        <v>14</v>
      </c>
      <c r="BH303">
        <v>4</v>
      </c>
      <c r="BI303">
        <v>6</v>
      </c>
      <c r="BJ303">
        <v>12</v>
      </c>
      <c r="BK303">
        <v>2</v>
      </c>
      <c r="BL303">
        <v>0</v>
      </c>
      <c r="BM303">
        <v>8</v>
      </c>
      <c r="BN303">
        <v>6</v>
      </c>
      <c r="BO303">
        <v>3</v>
      </c>
      <c r="BP303">
        <v>19</v>
      </c>
      <c r="BQ303">
        <v>5</v>
      </c>
      <c r="BR303">
        <v>11</v>
      </c>
      <c r="BS303">
        <v>53</v>
      </c>
      <c r="BU303" s="1">
        <f>AVERAGE(Table9[[#This Row],[1-Jan-21]:[1-Dec-25]])</f>
        <v>5.7</v>
      </c>
    </row>
    <row r="304" spans="1:73" x14ac:dyDescent="0.55000000000000004">
      <c r="A304">
        <v>303</v>
      </c>
      <c r="B304" t="s">
        <v>71</v>
      </c>
      <c r="C304" t="s">
        <v>72</v>
      </c>
      <c r="D304" t="s">
        <v>73</v>
      </c>
      <c r="E304" t="s">
        <v>99</v>
      </c>
      <c r="F304">
        <v>108101</v>
      </c>
      <c r="G304" t="s">
        <v>436</v>
      </c>
      <c r="H304" t="s">
        <v>76</v>
      </c>
      <c r="I304" t="s">
        <v>80</v>
      </c>
      <c r="J304">
        <v>167.8</v>
      </c>
      <c r="K304">
        <v>29</v>
      </c>
      <c r="L304">
        <v>8</v>
      </c>
      <c r="M304">
        <v>17</v>
      </c>
      <c r="N304">
        <v>62</v>
      </c>
      <c r="O304">
        <v>13</v>
      </c>
      <c r="P304">
        <v>16</v>
      </c>
      <c r="Q304">
        <v>22</v>
      </c>
      <c r="R304">
        <v>13</v>
      </c>
      <c r="S304">
        <v>7</v>
      </c>
      <c r="T304">
        <v>30</v>
      </c>
      <c r="U304">
        <v>222</v>
      </c>
      <c r="V304">
        <v>17</v>
      </c>
      <c r="W304">
        <v>13</v>
      </c>
      <c r="X304">
        <v>14</v>
      </c>
      <c r="Y304">
        <v>47</v>
      </c>
      <c r="Z304">
        <v>25</v>
      </c>
      <c r="AA304">
        <v>14</v>
      </c>
      <c r="AB304">
        <v>34</v>
      </c>
      <c r="AC304">
        <v>6</v>
      </c>
      <c r="AD304">
        <v>0</v>
      </c>
      <c r="AE304">
        <v>10</v>
      </c>
      <c r="AF304">
        <v>24</v>
      </c>
      <c r="AG304">
        <v>10</v>
      </c>
      <c r="AH304">
        <v>16</v>
      </c>
      <c r="AI304">
        <v>13</v>
      </c>
      <c r="AJ304">
        <v>188</v>
      </c>
      <c r="AK304">
        <v>23</v>
      </c>
      <c r="AL304">
        <v>3</v>
      </c>
      <c r="AM304">
        <v>48</v>
      </c>
      <c r="AN304">
        <v>24</v>
      </c>
      <c r="AO304">
        <v>15</v>
      </c>
      <c r="AP304">
        <v>14</v>
      </c>
      <c r="AQ304">
        <v>15</v>
      </c>
      <c r="AR304">
        <v>6</v>
      </c>
      <c r="AS304">
        <v>21</v>
      </c>
      <c r="AT304">
        <v>18</v>
      </c>
      <c r="AU304">
        <v>22</v>
      </c>
      <c r="AV304">
        <v>17</v>
      </c>
      <c r="AW304">
        <v>24</v>
      </c>
      <c r="AX304">
        <v>32</v>
      </c>
      <c r="AY304">
        <v>39</v>
      </c>
      <c r="AZ304">
        <v>20</v>
      </c>
      <c r="BA304">
        <v>73</v>
      </c>
      <c r="BB304">
        <v>72</v>
      </c>
      <c r="BC304">
        <v>45</v>
      </c>
      <c r="BD304">
        <v>60</v>
      </c>
      <c r="BE304">
        <v>52</v>
      </c>
      <c r="BF304">
        <v>19</v>
      </c>
      <c r="BG304">
        <v>15</v>
      </c>
      <c r="BH304">
        <v>95</v>
      </c>
      <c r="BI304">
        <v>52</v>
      </c>
      <c r="BJ304">
        <v>62</v>
      </c>
      <c r="BK304">
        <v>27</v>
      </c>
      <c r="BL304">
        <v>12</v>
      </c>
      <c r="BM304">
        <v>21</v>
      </c>
      <c r="BN304">
        <v>26</v>
      </c>
      <c r="BO304">
        <v>11</v>
      </c>
      <c r="BP304">
        <v>25</v>
      </c>
      <c r="BQ304">
        <v>29</v>
      </c>
      <c r="BR304">
        <v>22</v>
      </c>
      <c r="BS304">
        <v>59</v>
      </c>
      <c r="BU304" s="1">
        <f>AVERAGE(Table9[[#This Row],[1-Jan-21]:[1-Dec-25]])</f>
        <v>32.15</v>
      </c>
    </row>
    <row r="305" spans="1:73" x14ac:dyDescent="0.55000000000000004">
      <c r="A305">
        <v>304</v>
      </c>
      <c r="B305" t="s">
        <v>71</v>
      </c>
      <c r="C305" t="s">
        <v>72</v>
      </c>
      <c r="D305" t="s">
        <v>73</v>
      </c>
      <c r="E305" t="s">
        <v>99</v>
      </c>
      <c r="F305">
        <v>108124</v>
      </c>
      <c r="G305" t="s">
        <v>437</v>
      </c>
      <c r="H305" t="s">
        <v>76</v>
      </c>
      <c r="I305" t="s">
        <v>80</v>
      </c>
      <c r="J305">
        <v>141.41999999999999</v>
      </c>
      <c r="K305">
        <v>468</v>
      </c>
      <c r="L305">
        <v>62</v>
      </c>
      <c r="M305">
        <v>38</v>
      </c>
      <c r="N305">
        <v>84</v>
      </c>
      <c r="O305">
        <v>77</v>
      </c>
      <c r="P305">
        <v>204</v>
      </c>
      <c r="Q305">
        <v>869</v>
      </c>
      <c r="R305">
        <v>124</v>
      </c>
      <c r="S305">
        <v>694</v>
      </c>
      <c r="T305">
        <v>117</v>
      </c>
      <c r="U305">
        <v>134</v>
      </c>
      <c r="V305">
        <v>56</v>
      </c>
      <c r="W305">
        <v>345</v>
      </c>
      <c r="X305">
        <v>73</v>
      </c>
      <c r="Y305">
        <v>375</v>
      </c>
      <c r="Z305">
        <v>257</v>
      </c>
      <c r="AA305">
        <v>128</v>
      </c>
      <c r="AB305">
        <v>110</v>
      </c>
      <c r="AC305">
        <v>24</v>
      </c>
      <c r="AD305">
        <v>63</v>
      </c>
      <c r="AE305">
        <v>11</v>
      </c>
      <c r="AF305">
        <v>88</v>
      </c>
      <c r="AG305">
        <v>104</v>
      </c>
      <c r="AH305">
        <v>1545</v>
      </c>
      <c r="AI305">
        <v>211</v>
      </c>
      <c r="AJ305">
        <v>17</v>
      </c>
      <c r="AK305">
        <v>46</v>
      </c>
      <c r="AL305">
        <v>16</v>
      </c>
      <c r="AM305">
        <v>128</v>
      </c>
      <c r="AN305">
        <v>184</v>
      </c>
      <c r="AO305">
        <v>47</v>
      </c>
      <c r="AP305">
        <v>82</v>
      </c>
      <c r="AQ305">
        <v>34</v>
      </c>
      <c r="AR305">
        <v>7</v>
      </c>
      <c r="AS305">
        <v>122</v>
      </c>
      <c r="AT305">
        <v>617</v>
      </c>
      <c r="AU305">
        <v>232</v>
      </c>
      <c r="AV305">
        <v>83</v>
      </c>
      <c r="AW305">
        <v>23</v>
      </c>
      <c r="AX305">
        <v>170</v>
      </c>
      <c r="AY305">
        <v>38</v>
      </c>
      <c r="AZ305">
        <v>1022</v>
      </c>
      <c r="BA305">
        <v>47</v>
      </c>
      <c r="BB305">
        <v>24</v>
      </c>
      <c r="BC305">
        <v>90</v>
      </c>
      <c r="BD305">
        <v>40</v>
      </c>
      <c r="BE305">
        <v>65</v>
      </c>
      <c r="BF305">
        <v>69</v>
      </c>
      <c r="BG305">
        <v>53</v>
      </c>
      <c r="BH305">
        <v>60</v>
      </c>
      <c r="BI305">
        <v>93</v>
      </c>
      <c r="BJ305">
        <v>65</v>
      </c>
      <c r="BK305">
        <v>55</v>
      </c>
      <c r="BL305">
        <v>41</v>
      </c>
      <c r="BM305">
        <v>113</v>
      </c>
      <c r="BN305">
        <v>110</v>
      </c>
      <c r="BO305">
        <v>30</v>
      </c>
      <c r="BP305">
        <v>248</v>
      </c>
      <c r="BQ305">
        <v>151</v>
      </c>
      <c r="BR305">
        <v>136</v>
      </c>
      <c r="BS305">
        <v>60</v>
      </c>
      <c r="BU305" s="1">
        <f>AVERAGE(Table9[[#This Row],[1-Jan-21]:[1-Dec-25]])</f>
        <v>176.98333333333332</v>
      </c>
    </row>
    <row r="306" spans="1:73" x14ac:dyDescent="0.55000000000000004">
      <c r="A306">
        <v>305</v>
      </c>
      <c r="B306" t="s">
        <v>71</v>
      </c>
      <c r="C306" t="s">
        <v>72</v>
      </c>
      <c r="D306" t="s">
        <v>73</v>
      </c>
      <c r="E306" t="s">
        <v>134</v>
      </c>
      <c r="F306">
        <v>124798</v>
      </c>
      <c r="G306" t="s">
        <v>438</v>
      </c>
      <c r="H306" t="s">
        <v>76</v>
      </c>
      <c r="I306" t="s">
        <v>80</v>
      </c>
      <c r="J306">
        <v>286.31</v>
      </c>
      <c r="K306">
        <v>1</v>
      </c>
      <c r="L306">
        <v>6</v>
      </c>
      <c r="M306">
        <v>12</v>
      </c>
      <c r="N306">
        <v>10</v>
      </c>
      <c r="O306">
        <v>2</v>
      </c>
      <c r="P306">
        <v>15</v>
      </c>
      <c r="Q306">
        <v>5</v>
      </c>
      <c r="R306">
        <v>7</v>
      </c>
      <c r="S306">
        <v>5</v>
      </c>
      <c r="T306">
        <v>4</v>
      </c>
      <c r="U306">
        <v>5</v>
      </c>
      <c r="V306">
        <v>7</v>
      </c>
      <c r="W306">
        <v>4</v>
      </c>
      <c r="X306">
        <v>10</v>
      </c>
      <c r="Y306">
        <v>6</v>
      </c>
      <c r="Z306">
        <v>6</v>
      </c>
      <c r="AA306">
        <v>1</v>
      </c>
      <c r="AB306">
        <v>5</v>
      </c>
      <c r="AC306">
        <v>2</v>
      </c>
      <c r="AD306">
        <v>0</v>
      </c>
      <c r="AE306">
        <v>3</v>
      </c>
      <c r="AF306">
        <v>3</v>
      </c>
      <c r="AG306">
        <v>5</v>
      </c>
      <c r="AH306">
        <v>0</v>
      </c>
      <c r="AI306">
        <v>5</v>
      </c>
      <c r="AJ306">
        <v>2</v>
      </c>
      <c r="AK306">
        <v>5</v>
      </c>
      <c r="AL306">
        <v>8</v>
      </c>
      <c r="AM306">
        <v>12</v>
      </c>
      <c r="AN306">
        <v>6</v>
      </c>
      <c r="AO306">
        <v>0</v>
      </c>
      <c r="AP306">
        <v>6</v>
      </c>
      <c r="AQ306">
        <v>3</v>
      </c>
      <c r="AR306">
        <v>3</v>
      </c>
      <c r="AS306">
        <v>0</v>
      </c>
      <c r="AT306">
        <v>1</v>
      </c>
      <c r="AU306">
        <v>3</v>
      </c>
      <c r="AV306">
        <v>1</v>
      </c>
      <c r="AW306">
        <v>0</v>
      </c>
      <c r="AX306">
        <v>1</v>
      </c>
      <c r="AY306">
        <v>10</v>
      </c>
      <c r="AZ306">
        <v>0</v>
      </c>
      <c r="BA306">
        <v>5</v>
      </c>
      <c r="BB306">
        <v>2</v>
      </c>
      <c r="BC306">
        <v>4</v>
      </c>
      <c r="BD306">
        <v>3</v>
      </c>
      <c r="BE306">
        <v>6</v>
      </c>
      <c r="BF306">
        <v>6</v>
      </c>
      <c r="BG306">
        <v>0</v>
      </c>
      <c r="BH306">
        <v>2</v>
      </c>
      <c r="BI306">
        <v>5</v>
      </c>
      <c r="BJ306">
        <v>0</v>
      </c>
      <c r="BK306">
        <v>0</v>
      </c>
      <c r="BL306">
        <v>0</v>
      </c>
      <c r="BM306">
        <v>3</v>
      </c>
      <c r="BN306">
        <v>0</v>
      </c>
      <c r="BO306">
        <v>2</v>
      </c>
      <c r="BP306">
        <v>0</v>
      </c>
      <c r="BQ306">
        <v>0</v>
      </c>
      <c r="BR306">
        <v>0</v>
      </c>
      <c r="BS306">
        <v>46</v>
      </c>
      <c r="BU306" s="1">
        <f>AVERAGE(Table9[[#This Row],[1-Jan-21]:[1-Dec-25]])</f>
        <v>3.8</v>
      </c>
    </row>
    <row r="307" spans="1:73" x14ac:dyDescent="0.55000000000000004">
      <c r="A307">
        <v>306</v>
      </c>
      <c r="B307" t="s">
        <v>71</v>
      </c>
      <c r="C307" t="s">
        <v>72</v>
      </c>
      <c r="D307" t="s">
        <v>73</v>
      </c>
      <c r="E307" t="s">
        <v>87</v>
      </c>
      <c r="F307">
        <v>107598</v>
      </c>
      <c r="G307" t="s">
        <v>439</v>
      </c>
      <c r="H307" t="s">
        <v>76</v>
      </c>
      <c r="I307" t="s">
        <v>80</v>
      </c>
      <c r="J307">
        <v>10.43</v>
      </c>
      <c r="K307">
        <v>0</v>
      </c>
      <c r="L307">
        <v>30</v>
      </c>
      <c r="M307">
        <v>46</v>
      </c>
      <c r="N307">
        <v>32</v>
      </c>
      <c r="O307">
        <v>24</v>
      </c>
      <c r="P307">
        <v>26</v>
      </c>
      <c r="Q307">
        <v>84</v>
      </c>
      <c r="R307">
        <v>0</v>
      </c>
      <c r="S307">
        <v>16</v>
      </c>
      <c r="T307">
        <v>70</v>
      </c>
      <c r="U307">
        <v>48</v>
      </c>
      <c r="V307">
        <v>40</v>
      </c>
      <c r="W307">
        <v>86</v>
      </c>
      <c r="X307">
        <v>105</v>
      </c>
      <c r="Y307">
        <v>60</v>
      </c>
      <c r="Z307">
        <v>0</v>
      </c>
      <c r="AA307">
        <v>63</v>
      </c>
      <c r="AB307">
        <v>20</v>
      </c>
      <c r="AC307">
        <v>10</v>
      </c>
      <c r="AD307">
        <v>20</v>
      </c>
      <c r="AE307">
        <v>16</v>
      </c>
      <c r="AF307">
        <v>6</v>
      </c>
      <c r="AG307">
        <v>0</v>
      </c>
      <c r="AH307">
        <v>54</v>
      </c>
      <c r="AI307">
        <v>30</v>
      </c>
      <c r="AJ307">
        <v>34</v>
      </c>
      <c r="AK307">
        <v>6</v>
      </c>
      <c r="AL307">
        <v>0</v>
      </c>
      <c r="AM307">
        <v>0</v>
      </c>
      <c r="AN307">
        <v>16</v>
      </c>
      <c r="AO307">
        <v>40</v>
      </c>
      <c r="AP307">
        <v>20</v>
      </c>
      <c r="AQ307">
        <v>0</v>
      </c>
      <c r="AR307">
        <v>28</v>
      </c>
      <c r="AS307">
        <v>0</v>
      </c>
      <c r="AT307">
        <v>2</v>
      </c>
      <c r="AU307">
        <v>0</v>
      </c>
      <c r="AV307">
        <v>43</v>
      </c>
      <c r="AW307">
        <v>5</v>
      </c>
      <c r="AX307">
        <v>28</v>
      </c>
      <c r="AY307">
        <v>4</v>
      </c>
      <c r="AZ307">
        <v>7</v>
      </c>
      <c r="BA307">
        <v>20</v>
      </c>
      <c r="BB307">
        <v>26</v>
      </c>
      <c r="BC307">
        <v>12</v>
      </c>
      <c r="BD307">
        <v>45</v>
      </c>
      <c r="BE307">
        <v>12</v>
      </c>
      <c r="BF307">
        <v>20</v>
      </c>
      <c r="BG307">
        <v>40</v>
      </c>
      <c r="BH307">
        <v>10</v>
      </c>
      <c r="BI307">
        <v>0</v>
      </c>
      <c r="BJ307">
        <v>35</v>
      </c>
      <c r="BK307">
        <v>45</v>
      </c>
      <c r="BL307">
        <v>20</v>
      </c>
      <c r="BM307">
        <v>32</v>
      </c>
      <c r="BN307">
        <v>0</v>
      </c>
      <c r="BO307">
        <v>20</v>
      </c>
      <c r="BP307">
        <v>0</v>
      </c>
      <c r="BQ307">
        <v>12</v>
      </c>
      <c r="BR307">
        <v>0</v>
      </c>
      <c r="BS307">
        <v>47</v>
      </c>
      <c r="BU307" s="1">
        <f>AVERAGE(Table9[[#This Row],[1-Jan-21]:[1-Dec-25]])</f>
        <v>24.466666666666665</v>
      </c>
    </row>
    <row r="308" spans="1:73" x14ac:dyDescent="0.55000000000000004">
      <c r="A308">
        <v>307</v>
      </c>
      <c r="B308" t="s">
        <v>71</v>
      </c>
      <c r="C308" t="s">
        <v>72</v>
      </c>
      <c r="D308" t="s">
        <v>73</v>
      </c>
      <c r="E308" t="s">
        <v>99</v>
      </c>
      <c r="F308">
        <v>108108</v>
      </c>
      <c r="G308" t="s">
        <v>440</v>
      </c>
      <c r="H308" t="s">
        <v>76</v>
      </c>
      <c r="I308" t="s">
        <v>80</v>
      </c>
      <c r="J308">
        <v>304.22000000000003</v>
      </c>
      <c r="K308">
        <v>0</v>
      </c>
      <c r="L308">
        <v>3</v>
      </c>
      <c r="M308">
        <v>8</v>
      </c>
      <c r="N308">
        <v>1</v>
      </c>
      <c r="O308">
        <v>100</v>
      </c>
      <c r="P308">
        <v>9</v>
      </c>
      <c r="Q308">
        <v>4</v>
      </c>
      <c r="R308">
        <v>4</v>
      </c>
      <c r="S308">
        <v>10</v>
      </c>
      <c r="T308">
        <v>5</v>
      </c>
      <c r="U308">
        <v>20</v>
      </c>
      <c r="V308">
        <v>8</v>
      </c>
      <c r="W308">
        <v>11</v>
      </c>
      <c r="X308">
        <v>25</v>
      </c>
      <c r="Y308">
        <v>4</v>
      </c>
      <c r="Z308">
        <v>1</v>
      </c>
      <c r="AA308">
        <v>2</v>
      </c>
      <c r="AB308">
        <v>1</v>
      </c>
      <c r="AC308">
        <v>2</v>
      </c>
      <c r="AD308">
        <v>5</v>
      </c>
      <c r="AE308">
        <v>3</v>
      </c>
      <c r="AF308">
        <v>9</v>
      </c>
      <c r="AG308">
        <v>13</v>
      </c>
      <c r="AH308">
        <v>8</v>
      </c>
      <c r="AI308">
        <v>4</v>
      </c>
      <c r="AJ308">
        <v>3</v>
      </c>
      <c r="AK308">
        <v>5</v>
      </c>
      <c r="AL308">
        <v>9</v>
      </c>
      <c r="AM308">
        <v>0</v>
      </c>
      <c r="AN308">
        <v>3</v>
      </c>
      <c r="AO308">
        <v>0</v>
      </c>
      <c r="AP308">
        <v>11</v>
      </c>
      <c r="AQ308">
        <v>15</v>
      </c>
      <c r="AR308">
        <v>0</v>
      </c>
      <c r="AS308">
        <v>1</v>
      </c>
      <c r="AT308">
        <v>18</v>
      </c>
      <c r="AU308">
        <v>8</v>
      </c>
      <c r="AV308">
        <v>6</v>
      </c>
      <c r="AW308">
        <v>17</v>
      </c>
      <c r="AX308">
        <v>25</v>
      </c>
      <c r="AY308">
        <v>8</v>
      </c>
      <c r="AZ308">
        <v>8</v>
      </c>
      <c r="BA308">
        <v>2</v>
      </c>
      <c r="BB308">
        <v>16</v>
      </c>
      <c r="BC308">
        <v>0</v>
      </c>
      <c r="BD308">
        <v>11</v>
      </c>
      <c r="BE308">
        <v>3</v>
      </c>
      <c r="BF308">
        <v>15</v>
      </c>
      <c r="BG308">
        <v>6</v>
      </c>
      <c r="BH308">
        <v>2</v>
      </c>
      <c r="BI308">
        <v>17</v>
      </c>
      <c r="BJ308">
        <v>19</v>
      </c>
      <c r="BK308">
        <v>4</v>
      </c>
      <c r="BL308">
        <v>0</v>
      </c>
      <c r="BM308">
        <v>11</v>
      </c>
      <c r="BN308">
        <v>25</v>
      </c>
      <c r="BO308">
        <v>9</v>
      </c>
      <c r="BP308">
        <v>9</v>
      </c>
      <c r="BQ308">
        <v>17</v>
      </c>
      <c r="BR308">
        <v>5</v>
      </c>
      <c r="BS308">
        <v>54</v>
      </c>
      <c r="BU308" s="1">
        <f>AVERAGE(Table9[[#This Row],[1-Jan-21]:[1-Dec-25]])</f>
        <v>9.4666666666666668</v>
      </c>
    </row>
    <row r="309" spans="1:73" x14ac:dyDescent="0.55000000000000004">
      <c r="A309">
        <v>308</v>
      </c>
      <c r="B309" t="s">
        <v>71</v>
      </c>
      <c r="C309" t="s">
        <v>72</v>
      </c>
      <c r="D309" t="s">
        <v>73</v>
      </c>
      <c r="E309" t="s">
        <v>145</v>
      </c>
      <c r="F309">
        <v>110057</v>
      </c>
      <c r="G309" t="s">
        <v>441</v>
      </c>
      <c r="H309" t="s">
        <v>76</v>
      </c>
      <c r="I309" t="s">
        <v>80</v>
      </c>
      <c r="J309">
        <v>30.8</v>
      </c>
      <c r="K309">
        <v>0</v>
      </c>
      <c r="L309">
        <v>11</v>
      </c>
      <c r="M309">
        <v>18</v>
      </c>
      <c r="N309">
        <v>17</v>
      </c>
      <c r="O309">
        <v>7</v>
      </c>
      <c r="P309">
        <v>37</v>
      </c>
      <c r="Q309">
        <v>2</v>
      </c>
      <c r="R309">
        <v>5</v>
      </c>
      <c r="S309">
        <v>3</v>
      </c>
      <c r="T309">
        <v>0</v>
      </c>
      <c r="U309">
        <v>5</v>
      </c>
      <c r="V309">
        <v>22</v>
      </c>
      <c r="W309">
        <v>18</v>
      </c>
      <c r="X309">
        <v>2</v>
      </c>
      <c r="Y309">
        <v>8</v>
      </c>
      <c r="Z309">
        <v>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8</v>
      </c>
      <c r="AG309">
        <v>9</v>
      </c>
      <c r="AH309">
        <v>6</v>
      </c>
      <c r="AI309">
        <v>9</v>
      </c>
      <c r="AJ309">
        <v>5</v>
      </c>
      <c r="AK309">
        <v>0</v>
      </c>
      <c r="AL309">
        <v>0</v>
      </c>
      <c r="AM309">
        <v>7</v>
      </c>
      <c r="AN309">
        <v>9</v>
      </c>
      <c r="AO309">
        <v>12</v>
      </c>
      <c r="AP309">
        <v>8</v>
      </c>
      <c r="AQ309">
        <v>7</v>
      </c>
      <c r="AR309">
        <v>1</v>
      </c>
      <c r="AS309">
        <v>0</v>
      </c>
      <c r="AT309">
        <v>12</v>
      </c>
      <c r="AU309">
        <v>4</v>
      </c>
      <c r="AV309">
        <v>2</v>
      </c>
      <c r="AW309">
        <v>2</v>
      </c>
      <c r="AX309">
        <v>5</v>
      </c>
      <c r="AY309">
        <v>2</v>
      </c>
      <c r="AZ309">
        <v>0</v>
      </c>
      <c r="BA309">
        <v>2</v>
      </c>
      <c r="BB309">
        <v>15</v>
      </c>
      <c r="BC309">
        <v>12</v>
      </c>
      <c r="BD309">
        <v>15</v>
      </c>
      <c r="BE309">
        <v>20</v>
      </c>
      <c r="BF309">
        <v>10</v>
      </c>
      <c r="BG309">
        <v>12</v>
      </c>
      <c r="BH309">
        <v>11</v>
      </c>
      <c r="BI309">
        <v>0</v>
      </c>
      <c r="BJ309">
        <v>8</v>
      </c>
      <c r="BK309">
        <v>12</v>
      </c>
      <c r="BL309">
        <v>18</v>
      </c>
      <c r="BM309">
        <v>1</v>
      </c>
      <c r="BN309">
        <v>23</v>
      </c>
      <c r="BO309">
        <v>10</v>
      </c>
      <c r="BP309">
        <v>0</v>
      </c>
      <c r="BQ309">
        <v>10</v>
      </c>
      <c r="BR309">
        <v>0</v>
      </c>
      <c r="BS309">
        <v>46</v>
      </c>
      <c r="BU309" s="1">
        <f>AVERAGE(Table9[[#This Row],[1-Jan-21]:[1-Dec-25]])</f>
        <v>7.416666666666667</v>
      </c>
    </row>
    <row r="310" spans="1:73" x14ac:dyDescent="0.55000000000000004">
      <c r="A310">
        <v>309</v>
      </c>
      <c r="B310" t="s">
        <v>71</v>
      </c>
      <c r="C310" t="s">
        <v>72</v>
      </c>
      <c r="D310" t="s">
        <v>73</v>
      </c>
      <c r="E310" t="s">
        <v>204</v>
      </c>
      <c r="F310">
        <v>109091</v>
      </c>
      <c r="G310" t="s">
        <v>442</v>
      </c>
      <c r="H310" t="s">
        <v>76</v>
      </c>
      <c r="I310" t="s">
        <v>105</v>
      </c>
      <c r="J310">
        <v>183.48</v>
      </c>
      <c r="K310">
        <v>0</v>
      </c>
      <c r="L310">
        <v>170</v>
      </c>
      <c r="M310">
        <v>0</v>
      </c>
      <c r="N310">
        <v>0</v>
      </c>
      <c r="O310">
        <v>1012</v>
      </c>
      <c r="P310">
        <v>190</v>
      </c>
      <c r="Q310">
        <v>190</v>
      </c>
      <c r="R310">
        <v>171</v>
      </c>
      <c r="S310">
        <v>588</v>
      </c>
      <c r="T310">
        <v>660</v>
      </c>
      <c r="U310">
        <v>861</v>
      </c>
      <c r="V310">
        <v>1254</v>
      </c>
      <c r="W310">
        <v>800</v>
      </c>
      <c r="X310">
        <v>100</v>
      </c>
      <c r="Y310">
        <v>680</v>
      </c>
      <c r="Z310">
        <v>846</v>
      </c>
      <c r="AA310">
        <v>400</v>
      </c>
      <c r="AB310">
        <v>780</v>
      </c>
      <c r="AC310">
        <v>300</v>
      </c>
      <c r="AD310">
        <v>0</v>
      </c>
      <c r="AE310">
        <v>200</v>
      </c>
      <c r="AF310">
        <v>0</v>
      </c>
      <c r="AG310">
        <v>300</v>
      </c>
      <c r="AH310">
        <v>116</v>
      </c>
      <c r="AI310">
        <v>140</v>
      </c>
      <c r="AJ310">
        <v>0</v>
      </c>
      <c r="AK310">
        <v>260</v>
      </c>
      <c r="AL310">
        <v>18</v>
      </c>
      <c r="AM310">
        <v>300</v>
      </c>
      <c r="AN310">
        <v>200</v>
      </c>
      <c r="AO310">
        <v>171</v>
      </c>
      <c r="AP310">
        <v>560</v>
      </c>
      <c r="AQ310">
        <v>100</v>
      </c>
      <c r="AR310">
        <v>2165</v>
      </c>
      <c r="AS310">
        <v>100</v>
      </c>
      <c r="AT310">
        <v>280</v>
      </c>
      <c r="AU310">
        <v>140</v>
      </c>
      <c r="AV310">
        <v>150</v>
      </c>
      <c r="AW310">
        <v>160</v>
      </c>
      <c r="AX310">
        <v>0</v>
      </c>
      <c r="AY310">
        <v>348</v>
      </c>
      <c r="AZ310">
        <v>380</v>
      </c>
      <c r="BA310">
        <v>200</v>
      </c>
      <c r="BB310">
        <v>160</v>
      </c>
      <c r="BC310">
        <v>115</v>
      </c>
      <c r="BD310">
        <v>266</v>
      </c>
      <c r="BE310">
        <v>200</v>
      </c>
      <c r="BF310">
        <v>85</v>
      </c>
      <c r="BG310">
        <v>300</v>
      </c>
      <c r="BH310">
        <v>80</v>
      </c>
      <c r="BI310">
        <v>437</v>
      </c>
      <c r="BJ310">
        <v>160</v>
      </c>
      <c r="BK310">
        <v>241</v>
      </c>
      <c r="BL310">
        <v>250</v>
      </c>
      <c r="BM310">
        <v>185</v>
      </c>
      <c r="BN310">
        <v>323</v>
      </c>
      <c r="BO310">
        <v>494</v>
      </c>
      <c r="BP310">
        <v>0</v>
      </c>
      <c r="BQ310">
        <v>610</v>
      </c>
      <c r="BR310">
        <v>848</v>
      </c>
      <c r="BS310">
        <v>52</v>
      </c>
      <c r="BU310" s="1">
        <f>AVERAGE(Table9[[#This Row],[1-Jan-21]:[1-Dec-25]])</f>
        <v>334.06666666666666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Consumption_local_40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 Morshed</dc:creator>
  <cp:lastModifiedBy>Niaz Morshed</cp:lastModifiedBy>
  <dcterms:created xsi:type="dcterms:W3CDTF">2026-02-24T19:27:05Z</dcterms:created>
  <dcterms:modified xsi:type="dcterms:W3CDTF">2026-03-29T17:08:58Z</dcterms:modified>
</cp:coreProperties>
</file>